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025263A-BFD9-4951-8673-0D2A63A3D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YLIK_OZET" sheetId="1" r:id="rId1"/>
    <sheet name="GRUP_HARITA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E21" i="2"/>
  <c r="L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</calcChain>
</file>

<file path=xl/sharedStrings.xml><?xml version="1.0" encoding="utf-8"?>
<sst xmlns="http://schemas.openxmlformats.org/spreadsheetml/2006/main" count="91" uniqueCount="60">
  <si>
    <t>AY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</si>
  <si>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</si>
  <si>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</si>
  <si>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</si>
  <si>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</si>
  <si>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</si>
  <si>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</si>
  <si>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</si>
  <si>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</si>
  <si>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</si>
  <si>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</si>
  <si>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</si>
  <si>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</si>
  <si>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</si>
  <si>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</si>
  <si>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</si>
  <si>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GENEL TOPLAM</t>
  </si>
  <si>
    <t>HAM_VERI_STOK_GRUP</t>
  </si>
  <si>
    <t>NORMALIZE_STOK_GRUP</t>
  </si>
  <si>
    <t>ESLESEN_BASLIK</t>
  </si>
  <si>
    <t>SATIR_SAYISI</t>
  </si>
  <si>
    <t>Q_TOPLAM_DAHIL</t>
  </si>
  <si>
    <t>IADE_SEBEBIYLE_DISLANAN_Q</t>
  </si>
  <si>
    <t>KARAVAN EKİPMAN</t>
  </si>
  <si>
    <t>KARAVAN EKIPMAN</t>
  </si>
  <si>
    <t>HAMMADDE</t>
  </si>
  <si>
    <t>ELEKTRİK</t>
  </si>
  <si>
    <t>ELEKTRIK</t>
  </si>
  <si>
    <t>MEKANİK</t>
  </si>
  <si>
    <t>MEKANIK</t>
  </si>
  <si>
    <t>KİMYASAL</t>
  </si>
  <si>
    <t>KIMYASAL</t>
  </si>
  <si>
    <t>MOBİLYA</t>
  </si>
  <si>
    <t>MOBILYA</t>
  </si>
  <si>
    <t>ETİCARET</t>
  </si>
  <si>
    <t>ETICARET</t>
  </si>
  <si>
    <t>E-TICARET</t>
  </si>
  <si>
    <t>HIRDAVAT</t>
  </si>
  <si>
    <t>DÖŞEME</t>
  </si>
  <si>
    <t>DOSEME</t>
  </si>
  <si>
    <t>ÇADIR</t>
  </si>
  <si>
    <t>CADIR</t>
  </si>
  <si>
    <t>NUMUNE</t>
  </si>
  <si>
    <t>(BOS)</t>
  </si>
  <si>
    <t>DIGER</t>
  </si>
  <si>
    <t>ARGE</t>
  </si>
  <si>
    <t>KABİN</t>
  </si>
  <si>
    <t>KABIN</t>
  </si>
  <si>
    <t>KARAVAN</t>
  </si>
  <si>
    <t>YEDEK PARÇA</t>
  </si>
  <si>
    <t>YEDEK PARCA</t>
  </si>
  <si>
    <t>3D-BASKI</t>
  </si>
  <si>
    <t>UYKU KAPSULU</t>
  </si>
  <si>
    <t>BEDELSİZ</t>
  </si>
  <si>
    <t>BEDELSIZ</t>
  </si>
  <si>
    <t>MARKETİNG</t>
  </si>
  <si>
    <t>MARKETING</t>
  </si>
  <si>
    <t>TOPLAM İADELİ</t>
  </si>
  <si>
    <t>NET ALIM</t>
  </si>
  <si>
    <t>IADE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</si>
</sst>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/>
    <xf numFmtId="44" fontId="0" fillId="0" borderId="1" xfId="1" applyFont="1" applyBorder="1"/>
    <xf numFmtId="44" fontId="0" fillId="0" borderId="1" xfId="0" applyNumberFormat="1" applyBorder="1"/>
    <xf numFmtId="0" fontId="0" fillId="3" borderId="1" xfId="0" applyFill="1" applyBorder="1"/>
    <xf numFmtId="44" fontId="0" fillId="3" borderId="1" xfId="1" applyFont="1" applyFill="1" applyBorder="1"/>
    <xf numFmtId="44" fontId="0" fillId="3" borderId="1" xfId="0" applyNumberFormat="1" applyFill="1" applyBorder="1"/>
    <xf numFmtId="0" fontId="0" fillId="0" borderId="2" xfId="0" applyBorder="1"/>
    <xf numFmtId="44" fontId="0" fillId="0" borderId="2" xfId="1" applyFont="1" applyBorder="1"/>
    <xf numFmtId="44" fontId="0" fillId="0" borderId="2" xfId="0" applyNumberFormat="1" applyBorder="1"/>
    <xf numFmtId="0" fontId="1" fillId="0" borderId="3" xfId="0" applyFont="1" applyBorder="1"/>
    <xf numFmtId="44" fontId="1" fillId="0" borderId="4" xfId="1" applyFont="1" applyBorder="1"/>
    <xf numFmtId="44" fontId="1" fillId="0" borderId="5" xfId="0" applyNumberFormat="1" applyFont="1" applyBorder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I27" sqref="I27"/>
    </sheetView>
  </sheetViews>
  <sheetFormatPr defaultRowHeight="15" x14ac:dyDescent="0.25"/>
  <cols>
    <col min="1" max="1" width="17.28515625" customWidth="1"/>
    <col min="2" max="3" width="20" customWidth="1"/>
    <col min="4" max="4" width="14.140625" customWidth="1"/>
    <col min="5" max="5" width="18" customWidth="1"/>
    <col min="6" max="6" width="13.7109375" customWidth="1"/>
    <col min="7" max="7" width="14.28515625" customWidth="1"/>
    <col min="8" max="8" width="18" customWidth="1"/>
    <col min="9" max="9" width="16" customWidth="1"/>
    <col min="10" max="11" width="18" customWidth="1"/>
    <col min="12" max="12" width="15.42578125" bestFit="1" customWidth="1"/>
  </cols>
  <sheetData>
    <row r="1" spans="1:12" s="1" customFormat="1" x14ac:dyDescent="0.25">
      <c r="A1" s="4" t="s">
        <v>0</v>
      </c>
      <c r="B1" s="4" t="s">
        <v>25</v>
      </c>
      <c r="C1" s="4" t="s">
        <v>36</v>
      </c>
      <c r="D1" s="4" t="s">
        <v>45</v>
      </c>
      <c r="E1" s="4" t="s">
        <v>42</v>
      </c>
      <c r="F1" s="4" t="s">
        <v>56</v>
      </c>
      <c r="G1" s="4" t="s">
        <v>52</v>
      </c>
      <c r="H1" s="4" t="s">
        <v>47</v>
      </c>
      <c r="I1" s="4" t="s">
        <v>44</v>
      </c>
      <c r="J1" s="4" t="s">
        <v>59</v>
      </c>
      <c r="K1" s="4" t="s">
        <v>57</v>
      </c>
      <c r="L1" s="4" t="s">
        <v>58</v>
      </c>
    </row>
    <row r="2" spans="1:12" x14ac:dyDescent="0.25">
      <c r="A2" s="2" t="s">
        <v>1</v>
      </c>
      <c r="B2" s="5">
        <v>2997548.14</v>
      </c>
      <c r="C2" s="5">
        <v>106878.13000000002</v>
      </c>
      <c r="D2" s="5">
        <v>65267</v>
      </c>
      <c r="E2" s="5">
        <v>49825.3</v>
      </c>
      <c r="F2" s="5">
        <v>0</v>
      </c>
      <c r="G2" s="5">
        <v>0</v>
      </c>
      <c r="H2" s="5">
        <v>0</v>
      </c>
      <c r="I2" s="5">
        <v>15078.48</v>
      </c>
      <c r="J2" s="5">
        <v>111801.45000000001</v>
      </c>
      <c r="K2" s="5">
        <v>3346398.4999999991</v>
      </c>
      <c r="L2" s="6">
        <f>K2-J2</f>
        <v>3234597.0499999989</v>
      </c>
    </row>
    <row r="3" spans="1:12" x14ac:dyDescent="0.25">
      <c r="A3" s="7" t="s">
        <v>2</v>
      </c>
      <c r="B3" s="8">
        <v>4516892.51</v>
      </c>
      <c r="C3" s="8">
        <v>101829.64</v>
      </c>
      <c r="D3" s="8">
        <v>0</v>
      </c>
      <c r="E3" s="8">
        <v>38254</v>
      </c>
      <c r="F3" s="8">
        <v>2000</v>
      </c>
      <c r="G3" s="8">
        <v>0</v>
      </c>
      <c r="H3" s="8">
        <v>0</v>
      </c>
      <c r="I3" s="8">
        <v>0</v>
      </c>
      <c r="J3" s="8">
        <v>23820</v>
      </c>
      <c r="K3" s="8">
        <v>4682796.1499999985</v>
      </c>
      <c r="L3" s="9">
        <f t="shared" ref="L3:L16" si="0">K3-J3</f>
        <v>4658976.1499999985</v>
      </c>
    </row>
    <row r="4" spans="1:12" x14ac:dyDescent="0.25">
      <c r="A4" s="2" t="s">
        <v>3</v>
      </c>
      <c r="B4" s="5">
        <v>4187092.4999999977</v>
      </c>
      <c r="C4" s="5">
        <v>309434.63</v>
      </c>
      <c r="D4" s="5">
        <v>6547.0600000000013</v>
      </c>
      <c r="E4" s="5">
        <v>6937.34</v>
      </c>
      <c r="F4" s="5">
        <v>0</v>
      </c>
      <c r="G4" s="5">
        <v>0</v>
      </c>
      <c r="H4" s="5">
        <v>0</v>
      </c>
      <c r="I4" s="5">
        <v>32458.33</v>
      </c>
      <c r="J4" s="5">
        <v>399018.36</v>
      </c>
      <c r="K4" s="5">
        <v>4941488.22</v>
      </c>
      <c r="L4" s="6">
        <f t="shared" si="0"/>
        <v>4542469.8599999994</v>
      </c>
    </row>
    <row r="5" spans="1:12" x14ac:dyDescent="0.25">
      <c r="A5" s="7" t="s">
        <v>4</v>
      </c>
      <c r="B5" s="8">
        <v>5872076.5923999995</v>
      </c>
      <c r="C5" s="8">
        <v>218972.37999999995</v>
      </c>
      <c r="D5" s="8">
        <v>2080</v>
      </c>
      <c r="E5" s="8">
        <v>4018.93</v>
      </c>
      <c r="F5" s="8">
        <v>0</v>
      </c>
      <c r="G5" s="8">
        <v>0</v>
      </c>
      <c r="H5" s="8">
        <v>0</v>
      </c>
      <c r="I5" s="8">
        <v>216.67</v>
      </c>
      <c r="J5" s="8">
        <v>54296.259999999995</v>
      </c>
      <c r="K5" s="8">
        <v>6151660.8323999969</v>
      </c>
      <c r="L5" s="9">
        <f t="shared" si="0"/>
        <v>6097364.5723999972</v>
      </c>
    </row>
    <row r="6" spans="1:12" x14ac:dyDescent="0.25">
      <c r="A6" s="2" t="s">
        <v>5</v>
      </c>
      <c r="B6" s="5">
        <v>4096827.3888017596</v>
      </c>
      <c r="C6" s="5">
        <v>502081.87000000017</v>
      </c>
      <c r="D6" s="5">
        <v>5693</v>
      </c>
      <c r="E6" s="5">
        <v>8829</v>
      </c>
      <c r="F6" s="5">
        <v>0</v>
      </c>
      <c r="G6" s="5">
        <v>0</v>
      </c>
      <c r="H6" s="5">
        <v>0</v>
      </c>
      <c r="I6" s="5">
        <v>41458.33</v>
      </c>
      <c r="J6" s="5">
        <v>178160.58</v>
      </c>
      <c r="K6" s="5">
        <v>4833050.1688017584</v>
      </c>
      <c r="L6" s="6">
        <f t="shared" si="0"/>
        <v>4654889.5888017584</v>
      </c>
    </row>
    <row r="7" spans="1:12" x14ac:dyDescent="0.25">
      <c r="A7" s="7" t="s">
        <v>6</v>
      </c>
      <c r="B7" s="8">
        <v>3761153.8330858168</v>
      </c>
      <c r="C7" s="8">
        <v>384791.96060606063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120</v>
      </c>
      <c r="J7" s="8">
        <v>15550.83</v>
      </c>
      <c r="K7" s="8">
        <v>4161616.6236918774</v>
      </c>
      <c r="L7" s="9">
        <f t="shared" si="0"/>
        <v>4146065.7936918773</v>
      </c>
    </row>
    <row r="8" spans="1:12" x14ac:dyDescent="0.25">
      <c r="A8" s="2" t="s">
        <v>7</v>
      </c>
      <c r="B8" s="5">
        <v>2824505.9169976097</v>
      </c>
      <c r="C8" s="5">
        <v>385438.017753469</v>
      </c>
      <c r="D8" s="5">
        <v>0</v>
      </c>
      <c r="E8" s="5">
        <v>107241.782666</v>
      </c>
      <c r="F8" s="5">
        <v>1450</v>
      </c>
      <c r="G8" s="5">
        <v>0</v>
      </c>
      <c r="H8" s="5">
        <v>0</v>
      </c>
      <c r="I8" s="5">
        <v>11095.838458652286</v>
      </c>
      <c r="J8" s="5">
        <v>40385.06</v>
      </c>
      <c r="K8" s="5">
        <v>3370116.6158757303</v>
      </c>
      <c r="L8" s="6">
        <f t="shared" si="0"/>
        <v>3329731.5558757302</v>
      </c>
    </row>
    <row r="9" spans="1:12" x14ac:dyDescent="0.25">
      <c r="A9" s="7" t="s">
        <v>8</v>
      </c>
      <c r="B9" s="8">
        <v>4052758.9953968311</v>
      </c>
      <c r="C9" s="8">
        <v>375732.04200000002</v>
      </c>
      <c r="D9" s="8">
        <v>0</v>
      </c>
      <c r="E9" s="8">
        <v>36684.236665999997</v>
      </c>
      <c r="F9" s="8">
        <v>0</v>
      </c>
      <c r="G9" s="8">
        <v>0</v>
      </c>
      <c r="H9" s="8">
        <v>0</v>
      </c>
      <c r="I9" s="8">
        <v>27697.716</v>
      </c>
      <c r="J9" s="8">
        <v>5218.5</v>
      </c>
      <c r="K9" s="8">
        <v>4498091.4900628319</v>
      </c>
      <c r="L9" s="9">
        <f t="shared" si="0"/>
        <v>4492872.9900628319</v>
      </c>
    </row>
    <row r="10" spans="1:12" x14ac:dyDescent="0.25">
      <c r="A10" s="2" t="s">
        <v>9</v>
      </c>
      <c r="B10" s="5">
        <v>4199069.9300000016</v>
      </c>
      <c r="C10" s="5">
        <v>542281.55999999994</v>
      </c>
      <c r="D10" s="5">
        <v>1542.3</v>
      </c>
      <c r="E10" s="5">
        <v>57320.83</v>
      </c>
      <c r="F10" s="5">
        <v>0</v>
      </c>
      <c r="G10" s="5">
        <v>0</v>
      </c>
      <c r="H10" s="5">
        <v>0</v>
      </c>
      <c r="I10" s="5">
        <v>16280</v>
      </c>
      <c r="J10" s="5">
        <v>62975.75</v>
      </c>
      <c r="K10" s="5">
        <v>4879470.3699999992</v>
      </c>
      <c r="L10" s="6">
        <f t="shared" si="0"/>
        <v>4816494.6199999992</v>
      </c>
    </row>
    <row r="11" spans="1:12" x14ac:dyDescent="0.25">
      <c r="A11" s="7" t="s">
        <v>10</v>
      </c>
      <c r="B11" s="8">
        <v>2236627.4200000004</v>
      </c>
      <c r="C11" s="8">
        <v>354149.59</v>
      </c>
      <c r="D11" s="8">
        <v>0</v>
      </c>
      <c r="E11" s="8">
        <v>46227.13</v>
      </c>
      <c r="F11" s="8">
        <v>0</v>
      </c>
      <c r="G11" s="8">
        <v>0</v>
      </c>
      <c r="H11" s="8">
        <v>0</v>
      </c>
      <c r="I11" s="8">
        <v>296.25</v>
      </c>
      <c r="J11" s="8">
        <v>46439.74</v>
      </c>
      <c r="K11" s="8">
        <v>2683740.13</v>
      </c>
      <c r="L11" s="9">
        <f t="shared" si="0"/>
        <v>2637300.3899999997</v>
      </c>
    </row>
    <row r="12" spans="1:12" x14ac:dyDescent="0.25">
      <c r="A12" s="2" t="s">
        <v>11</v>
      </c>
      <c r="B12" s="5">
        <v>2037914.7999999993</v>
      </c>
      <c r="C12" s="5">
        <v>316109.94000000006</v>
      </c>
      <c r="D12" s="5">
        <v>0</v>
      </c>
      <c r="E12" s="5">
        <v>1186.46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2355211.1999999993</v>
      </c>
      <c r="L12" s="6">
        <f t="shared" si="0"/>
        <v>2355211.1999999993</v>
      </c>
    </row>
    <row r="13" spans="1:12" x14ac:dyDescent="0.25">
      <c r="A13" s="7" t="s">
        <v>12</v>
      </c>
      <c r="B13" s="8">
        <v>2741359.0600000005</v>
      </c>
      <c r="C13" s="8">
        <v>0</v>
      </c>
      <c r="D13" s="8">
        <v>0</v>
      </c>
      <c r="E13" s="8">
        <v>24852.6</v>
      </c>
      <c r="F13" s="8">
        <v>0</v>
      </c>
      <c r="G13" s="8">
        <v>14808.63</v>
      </c>
      <c r="H13" s="8">
        <v>73000</v>
      </c>
      <c r="I13" s="8">
        <v>0</v>
      </c>
      <c r="J13" s="8">
        <v>6244.8</v>
      </c>
      <c r="K13" s="8">
        <v>2860265.0900000003</v>
      </c>
      <c r="L13" s="9">
        <f t="shared" si="0"/>
        <v>2854020.2900000005</v>
      </c>
    </row>
    <row r="14" spans="1:12" x14ac:dyDescent="0.25">
      <c r="A14" s="2" t="s">
        <v>13</v>
      </c>
      <c r="B14" s="5">
        <v>4290004.9599999981</v>
      </c>
      <c r="C14" s="5">
        <v>62155.9</v>
      </c>
      <c r="D14" s="5">
        <v>2120</v>
      </c>
      <c r="E14" s="5">
        <v>2289.2600000000002</v>
      </c>
      <c r="F14" s="5">
        <v>0</v>
      </c>
      <c r="G14" s="5">
        <v>0</v>
      </c>
      <c r="H14" s="5">
        <v>0</v>
      </c>
      <c r="I14" s="5">
        <v>56806</v>
      </c>
      <c r="J14" s="5">
        <v>23295.899999999998</v>
      </c>
      <c r="K14" s="5">
        <v>4436672.0199999977</v>
      </c>
      <c r="L14" s="6">
        <f t="shared" si="0"/>
        <v>4413376.1199999973</v>
      </c>
    </row>
    <row r="15" spans="1:12" x14ac:dyDescent="0.25">
      <c r="A15" s="7" t="s">
        <v>14</v>
      </c>
      <c r="B15" s="8">
        <v>3391587.3799999994</v>
      </c>
      <c r="C15" s="8">
        <v>0</v>
      </c>
      <c r="D15" s="8">
        <v>0</v>
      </c>
      <c r="E15" s="8">
        <v>5000</v>
      </c>
      <c r="F15" s="8">
        <v>0</v>
      </c>
      <c r="G15" s="8">
        <v>0</v>
      </c>
      <c r="H15" s="8">
        <v>0</v>
      </c>
      <c r="I15" s="8">
        <v>0</v>
      </c>
      <c r="J15" s="8">
        <v>6400</v>
      </c>
      <c r="K15" s="8">
        <v>3402987.3799999994</v>
      </c>
      <c r="L15" s="9">
        <f t="shared" si="0"/>
        <v>3396587.3799999994</v>
      </c>
    </row>
    <row r="16" spans="1:12" ht="15.75" thickBot="1" x14ac:dyDescent="0.3">
      <c r="A16" s="10" t="s">
        <v>15</v>
      </c>
      <c r="B16" s="11">
        <v>2663159.5499999989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1080</v>
      </c>
      <c r="K16" s="11">
        <v>2664239.5499999989</v>
      </c>
      <c r="L16" s="12">
        <f t="shared" si="0"/>
        <v>2663159.5499999989</v>
      </c>
    </row>
    <row r="17" spans="1:12" s="1" customFormat="1" ht="15.75" thickBot="1" x14ac:dyDescent="0.3">
      <c r="A17" s="13" t="s">
        <v>16</v>
      </c>
      <c r="B17" s="14">
        <v>53868578.976682015</v>
      </c>
      <c r="C17" s="14">
        <v>3659855.6603595298</v>
      </c>
      <c r="D17" s="14">
        <v>83249.36</v>
      </c>
      <c r="E17" s="14">
        <v>388666.86933200003</v>
      </c>
      <c r="F17" s="14">
        <v>3450</v>
      </c>
      <c r="G17" s="14">
        <v>14808.63</v>
      </c>
      <c r="H17" s="14">
        <v>73000</v>
      </c>
      <c r="I17" s="14">
        <v>201507.61445865227</v>
      </c>
      <c r="J17" s="14">
        <v>974687.2300000001</v>
      </c>
      <c r="K17" s="14">
        <v>59267804.340832196</v>
      </c>
      <c r="L17" s="15">
        <f>K17-J17</f>
        <v>58293117.110832199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D27" sqref="D27"/>
    </sheetView>
  </sheetViews>
  <sheetFormatPr defaultRowHeight="15" x14ac:dyDescent="0.25"/>
  <cols>
    <col min="1" max="2" width="24" customWidth="1"/>
    <col min="3" max="3" width="18" customWidth="1"/>
    <col min="4" max="4" width="13.28515625" customWidth="1"/>
    <col min="5" max="5" width="18" customWidth="1"/>
    <col min="6" max="6" width="28.28515625" customWidth="1"/>
  </cols>
  <sheetData>
    <row r="1" spans="1:6" s="1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25">
      <c r="A2" s="2" t="s">
        <v>23</v>
      </c>
      <c r="B2" s="2" t="s">
        <v>24</v>
      </c>
      <c r="C2" s="2" t="s">
        <v>25</v>
      </c>
      <c r="D2" s="2">
        <v>712</v>
      </c>
      <c r="E2" s="3">
        <v>17673122.946735982</v>
      </c>
      <c r="F2" s="3">
        <v>163263.12</v>
      </c>
    </row>
    <row r="3" spans="1:6" x14ac:dyDescent="0.25">
      <c r="A3" s="2" t="s">
        <v>26</v>
      </c>
      <c r="B3" s="2" t="s">
        <v>27</v>
      </c>
      <c r="C3" s="2" t="s">
        <v>25</v>
      </c>
      <c r="D3" s="2">
        <v>781</v>
      </c>
      <c r="E3" s="3">
        <v>9947904.2457498275</v>
      </c>
      <c r="F3" s="3">
        <v>93212.66</v>
      </c>
    </row>
    <row r="4" spans="1:6" x14ac:dyDescent="0.25">
      <c r="A4" s="2" t="s">
        <v>28</v>
      </c>
      <c r="B4" s="2" t="s">
        <v>29</v>
      </c>
      <c r="C4" s="2" t="s">
        <v>25</v>
      </c>
      <c r="D4" s="2">
        <v>574</v>
      </c>
      <c r="E4" s="3">
        <v>8935074.9503960032</v>
      </c>
      <c r="F4" s="3">
        <v>67960.63</v>
      </c>
    </row>
    <row r="5" spans="1:6" x14ac:dyDescent="0.25">
      <c r="A5" s="2" t="s">
        <v>30</v>
      </c>
      <c r="B5" s="2" t="s">
        <v>31</v>
      </c>
      <c r="C5" s="2" t="s">
        <v>25</v>
      </c>
      <c r="D5" s="2">
        <v>437</v>
      </c>
      <c r="E5" s="3">
        <v>6729314.6294618696</v>
      </c>
      <c r="F5" s="3">
        <v>15620.13</v>
      </c>
    </row>
    <row r="6" spans="1:6" x14ac:dyDescent="0.25">
      <c r="A6" s="2" t="s">
        <v>32</v>
      </c>
      <c r="B6" s="2" t="s">
        <v>33</v>
      </c>
      <c r="C6" s="2" t="s">
        <v>25</v>
      </c>
      <c r="D6" s="2">
        <v>413</v>
      </c>
      <c r="E6" s="3">
        <v>5741485.0745152226</v>
      </c>
      <c r="F6" s="3">
        <v>20160</v>
      </c>
    </row>
    <row r="7" spans="1:6" x14ac:dyDescent="0.25">
      <c r="A7" s="2" t="s">
        <v>34</v>
      </c>
      <c r="B7" s="2" t="s">
        <v>35</v>
      </c>
      <c r="C7" s="2" t="s">
        <v>36</v>
      </c>
      <c r="D7" s="2">
        <v>736</v>
      </c>
      <c r="E7" s="3">
        <v>3659855.6603595279</v>
      </c>
      <c r="F7" s="3">
        <v>486587.54000000004</v>
      </c>
    </row>
    <row r="8" spans="1:6" x14ac:dyDescent="0.25">
      <c r="A8" s="2" t="s">
        <v>37</v>
      </c>
      <c r="B8" s="2" t="s">
        <v>37</v>
      </c>
      <c r="C8" s="2" t="s">
        <v>25</v>
      </c>
      <c r="D8" s="2">
        <v>813</v>
      </c>
      <c r="E8" s="3">
        <v>2394452.7175975996</v>
      </c>
      <c r="F8" s="3">
        <v>12975.369999999999</v>
      </c>
    </row>
    <row r="9" spans="1:6" x14ac:dyDescent="0.25">
      <c r="A9" s="2" t="s">
        <v>38</v>
      </c>
      <c r="B9" s="2" t="s">
        <v>39</v>
      </c>
      <c r="C9" s="2" t="s">
        <v>25</v>
      </c>
      <c r="D9" s="2">
        <v>109</v>
      </c>
      <c r="E9" s="3">
        <v>1572318.1189774999</v>
      </c>
      <c r="F9" s="3">
        <v>4632.2700000000004</v>
      </c>
    </row>
    <row r="10" spans="1:6" x14ac:dyDescent="0.25">
      <c r="A10" s="2" t="s">
        <v>40</v>
      </c>
      <c r="B10" s="2" t="s">
        <v>41</v>
      </c>
      <c r="C10" s="2" t="s">
        <v>25</v>
      </c>
      <c r="D10" s="2">
        <v>13</v>
      </c>
      <c r="E10" s="3">
        <v>692930.57000000007</v>
      </c>
      <c r="F10" s="3">
        <v>44166.67</v>
      </c>
    </row>
    <row r="11" spans="1:6" x14ac:dyDescent="0.25">
      <c r="A11" s="2" t="s">
        <v>42</v>
      </c>
      <c r="B11" s="2" t="s">
        <v>42</v>
      </c>
      <c r="C11" s="2" t="s">
        <v>42</v>
      </c>
      <c r="D11" s="2">
        <v>55</v>
      </c>
      <c r="E11" s="3">
        <v>388666.86933199997</v>
      </c>
      <c r="F11" s="3">
        <v>64196.34</v>
      </c>
    </row>
    <row r="12" spans="1:6" x14ac:dyDescent="0.25">
      <c r="A12" s="2" t="s">
        <v>43</v>
      </c>
      <c r="B12" s="2" t="s">
        <v>43</v>
      </c>
      <c r="C12" s="2" t="s">
        <v>44</v>
      </c>
      <c r="D12" s="2">
        <v>38</v>
      </c>
      <c r="E12" s="3">
        <v>201507.61445865227</v>
      </c>
      <c r="F12" s="3">
        <v>1912.5</v>
      </c>
    </row>
    <row r="13" spans="1:6" x14ac:dyDescent="0.25">
      <c r="A13" s="2" t="s">
        <v>45</v>
      </c>
      <c r="B13" s="2" t="s">
        <v>45</v>
      </c>
      <c r="C13" s="2" t="s">
        <v>45</v>
      </c>
      <c r="D13" s="2">
        <v>14</v>
      </c>
      <c r="E13" s="3">
        <v>83249.36</v>
      </c>
      <c r="F13" s="3">
        <v>0</v>
      </c>
    </row>
    <row r="14" spans="1:6" x14ac:dyDescent="0.25">
      <c r="A14" s="2" t="s">
        <v>46</v>
      </c>
      <c r="B14" s="2" t="s">
        <v>47</v>
      </c>
      <c r="C14" s="2" t="s">
        <v>47</v>
      </c>
      <c r="D14" s="2">
        <v>1</v>
      </c>
      <c r="E14" s="3">
        <v>73000</v>
      </c>
      <c r="F14" s="3">
        <v>0</v>
      </c>
    </row>
    <row r="15" spans="1:6" x14ac:dyDescent="0.25">
      <c r="A15" s="2" t="s">
        <v>48</v>
      </c>
      <c r="B15" s="2" t="s">
        <v>48</v>
      </c>
      <c r="C15" s="2" t="s">
        <v>25</v>
      </c>
      <c r="D15" s="2">
        <v>13</v>
      </c>
      <c r="E15" s="3">
        <v>63792.959999999999</v>
      </c>
      <c r="F15" s="3">
        <v>0</v>
      </c>
    </row>
    <row r="16" spans="1:6" x14ac:dyDescent="0.25">
      <c r="A16" s="2" t="s">
        <v>49</v>
      </c>
      <c r="B16" s="2" t="s">
        <v>50</v>
      </c>
      <c r="C16" s="2" t="s">
        <v>25</v>
      </c>
      <c r="D16" s="2">
        <v>13</v>
      </c>
      <c r="E16" s="3">
        <v>62714.929999999993</v>
      </c>
      <c r="F16" s="3">
        <v>0</v>
      </c>
    </row>
    <row r="17" spans="1:6" x14ac:dyDescent="0.25">
      <c r="A17" s="2" t="s">
        <v>51</v>
      </c>
      <c r="B17" s="2" t="s">
        <v>51</v>
      </c>
      <c r="C17" s="2" t="s">
        <v>25</v>
      </c>
      <c r="D17" s="2">
        <v>11</v>
      </c>
      <c r="E17" s="3">
        <v>48620.84324799999</v>
      </c>
      <c r="F17" s="3">
        <v>0</v>
      </c>
    </row>
    <row r="18" spans="1:6" x14ac:dyDescent="0.25">
      <c r="A18" s="2" t="s">
        <v>52</v>
      </c>
      <c r="B18" s="2" t="s">
        <v>52</v>
      </c>
      <c r="C18" s="2" t="s">
        <v>52</v>
      </c>
      <c r="D18" s="2">
        <v>3</v>
      </c>
      <c r="E18" s="3">
        <v>14808.63</v>
      </c>
      <c r="F18" s="3">
        <v>0</v>
      </c>
    </row>
    <row r="19" spans="1:6" x14ac:dyDescent="0.25">
      <c r="A19" s="2" t="s">
        <v>53</v>
      </c>
      <c r="B19" s="2" t="s">
        <v>54</v>
      </c>
      <c r="C19" s="2" t="s">
        <v>25</v>
      </c>
      <c r="D19" s="2">
        <v>2</v>
      </c>
      <c r="E19" s="3">
        <v>6846.99</v>
      </c>
      <c r="F19" s="3">
        <v>0</v>
      </c>
    </row>
    <row r="20" spans="1:6" x14ac:dyDescent="0.25">
      <c r="A20" s="2" t="s">
        <v>55</v>
      </c>
      <c r="B20" s="2" t="s">
        <v>56</v>
      </c>
      <c r="C20" s="2" t="s">
        <v>56</v>
      </c>
      <c r="D20" s="2">
        <v>2</v>
      </c>
      <c r="E20" s="3">
        <v>3450</v>
      </c>
      <c r="F20" s="3">
        <v>0</v>
      </c>
    </row>
    <row r="21" spans="1:6" x14ac:dyDescent="0.25">
      <c r="E21" s="3">
        <f>SUM(E2:E20)</f>
        <v>58293117.110832192</v>
      </c>
      <c r="F21" s="3">
        <f>SUM(F2:F20)</f>
        <v>974687.2300000001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AYLIK_OZET</vt:lpstr>
      <vt:lpstr>GRUP_HARITASI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2026-03-30T13:32:15Z</dcterms:created>
  <dcterms:modified xsi:type="dcterms:W3CDTF">2026-03-30T13:47:44Z</dcterms:modified>
  <cp:category/>
</cp:coreProperties>
</file>