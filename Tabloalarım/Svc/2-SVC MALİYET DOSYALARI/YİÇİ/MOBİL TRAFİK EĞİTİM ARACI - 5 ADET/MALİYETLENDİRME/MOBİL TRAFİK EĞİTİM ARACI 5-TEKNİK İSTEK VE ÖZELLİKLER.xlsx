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osman.ertugral\Desktop\10 Adet Mobil Trafik Eğitim Aracı\"/>
    </mc:Choice>
  </mc:AlternateContent>
  <xr:revisionPtr revIDLastSave="0" documentId="13_ncr:1_{194314B3-1EB7-48A3-8E52-281732C5CD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liyetlendirme " sheetId="12" r:id="rId1"/>
    <sheet name="İç Döşeme Maliyet Kırılımı" sheetId="13" r:id="rId2"/>
    <sheet name="Dolap Maliyet Kırılımı" sheetId="14" r:id="rId3"/>
    <sheet name="Invertör Montaj Maliyet Kırılım" sheetId="1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8" i="12" l="1"/>
  <c r="I28" i="12" s="1"/>
  <c r="H32" i="12"/>
  <c r="I32" i="12" s="1"/>
  <c r="H31" i="12"/>
  <c r="I31" i="12" s="1"/>
  <c r="H30" i="12"/>
  <c r="I30" i="12" s="1"/>
  <c r="H35" i="12"/>
  <c r="I35" i="12" s="1"/>
  <c r="H40" i="12" l="1"/>
  <c r="I40" i="12" s="1"/>
  <c r="H33" i="12"/>
  <c r="I33" i="12" s="1"/>
  <c r="H34" i="12"/>
  <c r="I34" i="12" s="1"/>
  <c r="H36" i="12"/>
  <c r="I36" i="12"/>
  <c r="H37" i="12"/>
  <c r="I37" i="12" s="1"/>
  <c r="H38" i="12"/>
  <c r="I38" i="12" s="1"/>
  <c r="H39" i="12"/>
  <c r="I39" i="12" s="1"/>
  <c r="H41" i="12"/>
  <c r="I41" i="12" s="1"/>
  <c r="H42" i="12"/>
  <c r="I42" i="12" s="1"/>
  <c r="H43" i="12"/>
  <c r="I43" i="12"/>
  <c r="H44" i="12"/>
  <c r="I44" i="12" s="1"/>
  <c r="H45" i="12"/>
  <c r="I45" i="12" s="1"/>
  <c r="H46" i="12"/>
  <c r="I46" i="12" s="1"/>
  <c r="H47" i="12"/>
  <c r="I47" i="12" s="1"/>
  <c r="H48" i="12"/>
  <c r="I48" i="12" s="1"/>
  <c r="H29" i="12"/>
  <c r="I29" i="12" s="1"/>
  <c r="G21" i="12" l="1"/>
  <c r="G22" i="15"/>
  <c r="G21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4" i="13" l="1"/>
  <c r="H27" i="12"/>
  <c r="I27" i="12" s="1"/>
  <c r="H26" i="12"/>
  <c r="I26" i="12" s="1"/>
  <c r="I22" i="12"/>
  <c r="H21" i="12"/>
  <c r="I21" i="12" s="1"/>
  <c r="H20" i="12"/>
  <c r="I20" i="12" s="1"/>
  <c r="H19" i="12"/>
  <c r="I19" i="12" s="1"/>
  <c r="H18" i="12"/>
  <c r="I18" i="12" s="1"/>
  <c r="H17" i="12"/>
  <c r="I17" i="12" s="1"/>
  <c r="H16" i="12"/>
  <c r="I16" i="12" s="1"/>
  <c r="H15" i="12"/>
  <c r="I15" i="12" s="1"/>
  <c r="H7" i="13"/>
  <c r="H5" i="13"/>
  <c r="H9" i="13"/>
  <c r="H8" i="13"/>
  <c r="H6" i="13"/>
  <c r="H3" i="13"/>
  <c r="H4" i="13"/>
  <c r="H10" i="13" s="1"/>
  <c r="I10" i="12" s="1"/>
  <c r="I50" i="12" s="1"/>
  <c r="H2" i="13"/>
  <c r="I6" i="14"/>
  <c r="I4" i="14"/>
  <c r="I5" i="14"/>
  <c r="I3" i="14"/>
  <c r="I2" i="14"/>
  <c r="H5" i="14"/>
  <c r="H4" i="14"/>
  <c r="H3" i="14"/>
  <c r="H2" i="14"/>
  <c r="G9" i="13"/>
  <c r="G8" i="13"/>
  <c r="G7" i="13"/>
  <c r="G6" i="13"/>
  <c r="G5" i="13"/>
  <c r="G3" i="13"/>
  <c r="G2" i="13"/>
</calcChain>
</file>

<file path=xl/sharedStrings.xml><?xml version="1.0" encoding="utf-8"?>
<sst xmlns="http://schemas.openxmlformats.org/spreadsheetml/2006/main" count="259" uniqueCount="189">
  <si>
    <t>KURUM</t>
  </si>
  <si>
    <t>ÜSTYAPI</t>
  </si>
  <si>
    <t>RENK</t>
  </si>
  <si>
    <t>TOPLAM</t>
  </si>
  <si>
    <t>ARAÇ MODELİ</t>
  </si>
  <si>
    <t>İHTİYAÇLAR</t>
  </si>
  <si>
    <t>TARİH -ADET</t>
  </si>
  <si>
    <t>TANIM</t>
  </si>
  <si>
    <t>ARAÇ BAŞI MİKTAR</t>
  </si>
  <si>
    <t>FİYAT DOVİZ 
KDV HARİÇ</t>
  </si>
  <si>
    <t>TL KDV HARİÇ</t>
  </si>
  <si>
    <t>AÇIKLAMA</t>
  </si>
  <si>
    <t>BİRİM</t>
  </si>
  <si>
    <t>M2/BİRİM FİYAT</t>
  </si>
  <si>
    <t>ŞARTNAME MADDELERİ</t>
  </si>
  <si>
    <t xml:space="preserve">350 L VAN 12.4 METREKÜP 2.0L ECOBLUE 165 PS TREND YÜKSEK TAVAN </t>
  </si>
  <si>
    <t>SES VE ISI YALITIMI</t>
  </si>
  <si>
    <t>2.2.	Malzeme taşıma bölümünün yan duvarları ve tavanı en az 3ınm (üç milimetre) kalınlığında beyaz renk PVC ile kaplanacaktır.</t>
  </si>
  <si>
    <t>DUVAR VE TAVAN KAPLAMA (PVC)</t>
  </si>
  <si>
    <t>ZEMİN KAPLAMA</t>
  </si>
  <si>
    <t>ZEMİN İZALASYON</t>
  </si>
  <si>
    <t>2.4.	Malzeme taşıma bölümü zemini su kontrası üzerine 2mm (iki milimetre) *0,5mm kalınlığında taban döşeme malzemesi kullaıulacakıır.</t>
  </si>
  <si>
    <t>ZEMİN DÖŞEME</t>
  </si>
  <si>
    <t>2.6.	Aracın geri vitese alındığında, aracın arkasını görmek amacıyla arka tampon. yada daha uygun bir alana 1 (bir\ adet geri görüş kamerası ve 1 (bir) adet park sensörü monte edilecektir.</t>
  </si>
  <si>
    <t>GERİ GÖRÜŞ KAMERASI</t>
  </si>
  <si>
    <t>PARK SENSÖRÜ</t>
  </si>
  <si>
    <t>PRİZ</t>
  </si>
  <si>
    <t>KABİN AYDINLATMA (2 ADET NORMAL LED)</t>
  </si>
  <si>
    <t>2.7. Malzeme taşıma bölümünde elektronik cihazların kullanılması ya da sarj edilmesi maksadıyla normal şebeke elektriği ile uyumlu en az 2 (iki) adet priz bulunacakt</t>
  </si>
  <si>
    <t>2.8.	Bu prizler en az 2000W (iki bin watt) güç kaynakli, 1 (bir) adet İnvertör (dünüştürücü)
yerleştirilecektir.</t>
  </si>
  <si>
    <t>İNVERTÖR</t>
  </si>
  <si>
    <t>2.9.	Malzeme taşıma bölümünde Lahika-2’de bulunan malzeme listesindekı ürünlerin depolanması için 30x30mm (otuz çarpı otuz milimetre) ölçülerinde sigma profilden imal edilmiş bir dolap sistem /- karkası yapılacaktır.</t>
  </si>
  <si>
    <t>DOLAP SİSTEM KARKASI</t>
  </si>
  <si>
    <t>MDF KAPAMA</t>
  </si>
  <si>
    <t>2.10.	Dolap karkasının üstüne malzemelerin konulabilmesi için gri renkte MDf ile kapatılmış olacaktır.</t>
  </si>
  <si>
    <t>2.11.	Malzemelerin dolaptan düşmemesi için kemer sistemi yapılacaktır.</t>
  </si>
  <si>
    <t>KEMER SİSTEMİ</t>
  </si>
  <si>
    <t>4.3. Depolar tam dolu olarak verilecektir. (TEKNİK BROŞÜRDE YAKIT TANLKI 70 LİTRE GÖRÜNÜYOR, 60 LİTRE ÜZERİNDEN MALİYET HESAPLANMALIDIR)</t>
  </si>
  <si>
    <t>BEYAZ- CAST FOLYO KAPLAMALI</t>
  </si>
  <si>
    <t>2.3 Malzeme taşıma bölümü zemini 18 mm (on sekiz milimetre) *3mm (artı eksi üç milimetre) suya: dayanıklı su kontrası ile kaplanacaktır. Su kontrasının altına poliüretan köpük uygulanacaktır.</t>
  </si>
  <si>
    <t>2.5.	Malzeme taşıma bölümü tavanında en az 4 (dört) adet 12V (on iki volt) ile çalışan birer 'vatt’lık, en az 2 (iki) adet power ledli, alüminyum gövdeli aydınlat armatürü olacaktır. LED aydınlatmaların kontrolü şoför bölgesi tarafindan yapılacaktır.</t>
  </si>
  <si>
    <t>2.12. LAHİKA 2 de bulunan malzemeler araçla birlikte dolaplara yerleştirilmiş bir şekildeteslim edilecektir. Lahika-2’Je görselleri yer alan malzemelerde herhangi bir marka model arar maycak olup,
söz konusu malzemelerin piyasa muaddilleri kabul edilecektir.</t>
  </si>
  <si>
    <t>BİLGİ AMAÇLIDIR.</t>
  </si>
  <si>
    <t>ÖĞE NO.</t>
  </si>
  <si>
    <t>PARÇA NUMARASI</t>
  </si>
  <si>
    <t>MİKT.</t>
  </si>
  <si>
    <t>FİYAT</t>
  </si>
  <si>
    <t>TOPLAM FİYAT</t>
  </si>
  <si>
    <t>1</t>
  </si>
  <si>
    <t>ZEMİN SU KONTRASI</t>
  </si>
  <si>
    <t>1700X2200X18 MM</t>
  </si>
  <si>
    <t>ADET</t>
  </si>
  <si>
    <t>2</t>
  </si>
  <si>
    <t>ZEMİN MİNEFLÖ</t>
  </si>
  <si>
    <t>2 MM</t>
  </si>
  <si>
    <t>M2</t>
  </si>
  <si>
    <t>3</t>
  </si>
  <si>
    <t>KÖPÜK LEVHA-XPS</t>
  </si>
  <si>
    <t>600X2200X30 MM</t>
  </si>
  <si>
    <t>4</t>
  </si>
  <si>
    <t>BEYAZ PVC LEVHA</t>
  </si>
  <si>
    <t>2440X1220X3 MM</t>
  </si>
  <si>
    <t>5</t>
  </si>
  <si>
    <t>NP 1 SOSİS SİLİKON</t>
  </si>
  <si>
    <t>6</t>
  </si>
  <si>
    <t>SOTAJ SİLİKON</t>
  </si>
  <si>
    <t>7</t>
  </si>
  <si>
    <t>3.5X35 VİDA</t>
  </si>
  <si>
    <t>8</t>
  </si>
  <si>
    <t>VİDA KAPAK BEYAZ</t>
  </si>
  <si>
    <t>TOPLAM FİYAT KDV HARİÇ</t>
  </si>
  <si>
    <t>DOLAP KONSTRÜKSİYON</t>
  </si>
  <si>
    <t>6000X30X30 MM SİGMA PROFİL</t>
  </si>
  <si>
    <t>https://www.hattek.com/30x30-sigma-profil-urunler-296.html</t>
  </si>
  <si>
    <t>DOLAP KONSTRÜKSİYON KÖŞE BAGLANTI</t>
  </si>
  <si>
    <t>KÖŞE BAGLANTI 30X30 K8</t>
  </si>
  <si>
    <t>https://www.cnc-marketi.com/urun/genis-kose-baglanti-30x30-k8</t>
  </si>
  <si>
    <t>BAĞLAMA KAYIŞI KEMERLİ</t>
  </si>
  <si>
    <t>L:1000 MM</t>
  </si>
  <si>
    <t>GLADYATÖR TÜPLÜKLERİNDE KULLANDIGIMIZ SPANZET KEMERLERDEN</t>
  </si>
  <si>
    <t>MDF RAF</t>
  </si>
  <si>
    <t>2100X2800X18 MM</t>
  </si>
  <si>
    <t>Euro</t>
  </si>
  <si>
    <t>Dolar</t>
  </si>
  <si>
    <t>TOPLAM FİYAT KDV HARİÇ TL</t>
  </si>
  <si>
    <t>TOPLAM FİYAT TL</t>
  </si>
  <si>
    <t>M2 Mİ</t>
  </si>
  <si>
    <t>Verilen bilgi doğrultusunda  12v 1w lık 4 adet Power led li ürün talep ediliyor.</t>
  </si>
  <si>
    <t>SARF</t>
  </si>
  <si>
    <t>Fiyat Kırılımı
İç Döşeme Maliyet Kırılımı Sekmesinde</t>
  </si>
  <si>
    <t>Adet</t>
  </si>
  <si>
    <t>4 ADET AYDINLATMA MONTAJ SARF MALZEMESİ</t>
  </si>
  <si>
    <t>Sarf</t>
  </si>
  <si>
    <t>INVERTOR VE PRIZ MONTAJ SARF MALZEME</t>
  </si>
  <si>
    <t>Fiyat Kırılımı
Dolap Maliyet Kırılımı Sekmesinde</t>
  </si>
  <si>
    <t>m2</t>
  </si>
  <si>
    <t>Litre</t>
  </si>
  <si>
    <t>2 Li çerçeveli Ürün olarak alınacak</t>
  </si>
  <si>
    <r>
      <t xml:space="preserve">ÖĞE </t>
    </r>
    <r>
      <rPr>
        <b/>
        <sz val="13"/>
        <color indexed="8"/>
        <rFont val="SWGDT"/>
      </rPr>
      <t xml:space="preserve">
</t>
    </r>
    <r>
      <rPr>
        <b/>
        <sz val="13"/>
        <color indexed="8"/>
        <rFont val="Century Gothic"/>
        <family val="2"/>
        <charset val="162"/>
      </rPr>
      <t>NO.</t>
    </r>
  </si>
  <si>
    <t>BİRİM FİYAT</t>
  </si>
  <si>
    <t>Amfi Sigorta Kutusu</t>
  </si>
  <si>
    <t>125A</t>
  </si>
  <si>
    <t>125A SİGORTA</t>
  </si>
  <si>
    <t>25mm Kablo Siyah</t>
  </si>
  <si>
    <t>5m</t>
  </si>
  <si>
    <t>25mm Kablo Kırmızı</t>
  </si>
  <si>
    <t>Kablo 3x2,5</t>
  </si>
  <si>
    <t>9m</t>
  </si>
  <si>
    <t>Pabuç 25x8</t>
  </si>
  <si>
    <t>Pabuç 25x6</t>
  </si>
  <si>
    <t>Makaron Siyah-Kırmızı 10 MM</t>
  </si>
  <si>
    <t>20 cm</t>
  </si>
  <si>
    <t>Yüksük 2,5</t>
  </si>
  <si>
    <t>Tekli</t>
  </si>
  <si>
    <t>9</t>
  </si>
  <si>
    <t>Sigorta 220 16a</t>
  </si>
  <si>
    <t>Kutu</t>
  </si>
  <si>
    <t>10</t>
  </si>
  <si>
    <t>Tekli Sigorta Kutusu</t>
  </si>
  <si>
    <t>12</t>
  </si>
  <si>
    <t>Kablo Cırt Bağı</t>
  </si>
  <si>
    <t>30mm</t>
  </si>
  <si>
    <t>13</t>
  </si>
  <si>
    <t>Kroşe Vidalı</t>
  </si>
  <si>
    <t>14</t>
  </si>
  <si>
    <t>Vida 3,5x15</t>
  </si>
  <si>
    <t>15</t>
  </si>
  <si>
    <t>Spiral Boru 30</t>
  </si>
  <si>
    <t>5 Metre</t>
  </si>
  <si>
    <t>16</t>
  </si>
  <si>
    <t>Spiral Boru 16</t>
  </si>
  <si>
    <t>9 Metre</t>
  </si>
  <si>
    <t>17</t>
  </si>
  <si>
    <t>Inverter Sabitleme Vida 5x20</t>
  </si>
  <si>
    <t>5x20 Vida</t>
  </si>
  <si>
    <t>avadanlık</t>
  </si>
  <si>
    <t>bizim işçilik</t>
  </si>
  <si>
    <t>maliyet</t>
  </si>
  <si>
    <t>bizim malzeme + işçilik</t>
  </si>
  <si>
    <t>MOBİL TRAFİK EĞİTİM ARACI</t>
  </si>
  <si>
    <t>3.1 Lahika-1 de yer alan örnek Mobil Trafık Eğitim aracı çizimlerine göre hazırlanacaktır. tasarım idareden onay aLndıktan sonra Cast folyo malzemesinin üzerine baskı yapılarak araca uygulanacaktır.</t>
  </si>
  <si>
    <t>Uygulamalı Eğitim Brandası</t>
  </si>
  <si>
    <t>SIRA NO: 2 - Uygulamalı eğitime olanak sağlayacak, 8 x 12 m ebatlarında, Avrupa branda polyester cinsi, sıcağa ve soğuğa dayanıklı, altında 4 bağlantılı 12V özel çipli elektrik altyapısı bulunan, taşıma kılıfı olan, üzeri trafik görselleri ve sloganları baskılı branda.</t>
  </si>
  <si>
    <t>Çocuk Arabası</t>
  </si>
  <si>
    <t>Akaryakıt</t>
  </si>
  <si>
    <t>Cast folyo</t>
  </si>
  <si>
    <t>SIRA NO:3 - Uygulamalı eğitim platformu üzerinde 5-13 yaş grubu çocukların binebileceği, 36 kg yük taşıyabilen, 4 tekerlekli, pedallı, emniyet kemerli, korna, ayna, ışık ve fren donanımına sahip çocuk arabası.</t>
  </si>
  <si>
    <t>Minyatür Trafik Işıkları</t>
  </si>
  <si>
    <t>Trafik İşaretleri</t>
  </si>
  <si>
    <t>SIRA NO: 5 - Uygulamalı platform üzerinde yol güzergâhına konularak çocukların trafik işaretleri konusunda bilgilendirilmelerini sağlamak amacıyla;
85 cm ayak yüksekliğine sahip, kum ve su doldurularak ağırlık yapmaya uygun ayaklığı bulunan, en çok kullanılan 10 adet trafik işaret levhası.</t>
  </si>
  <si>
    <t>SIRA NO: 6 - Uygulamalı platform üzerinde icra edilen eğitimlerin katılımcılara en iyi şekilde duyurulması amacıyla;
2000 W, tekerlekli, taşınabilir, anfili, mikrofonlu, Bluetooth bağlantılı, USB girişli ses sistemi.</t>
  </si>
  <si>
    <t>Minyatür Kale</t>
  </si>
  <si>
    <t>S.No: 7- İcra edilecek trafik eğitimlerinde alkolün yol kullanıcıları üzerindeki olumsuz etkilerini, alkol gözlüğü ile kaleye top atılması suretiyle uygulamalı olarak anlatmak amacıyla;
Plastik, W65 x L119 x H86 ölçülerinde minyatür kale.</t>
  </si>
  <si>
    <t>Alkol similasyon gözlüğü</t>
  </si>
  <si>
    <t>S.No: 8 -İcra edilecek trafik eğitimlerinde alkolün yol kullanıcıları üzerindeki olumsuz etkilerini uygulamalı olarak anlatmak amacıyla;
0,8 – 1,5 promil alkol etkisini simüle eden, ABD menşeli alkol simülasyon gözlüğü.</t>
  </si>
  <si>
    <t>Bisiklet kaskı</t>
  </si>
  <si>
    <t>Bisiklet</t>
  </si>
  <si>
    <t>Futbol Topu</t>
  </si>
  <si>
    <t>SIRA NO:4 -Uygulamalı platform üzerinde bulunan yaya geçitlerinde kullanılmak üzere;
27 x 12 x 71 cm ölçülerinde, Kırmızı-Sarı-Yeşil sürücü, Kırmızı-Yeşil yaya ışıklı, pille çalışan, kum veya su doldurularak ağırlık yapmayı sağlayan ayaklığı bulunan minyatür trafik ışıkları.</t>
  </si>
  <si>
    <t>1 takım</t>
  </si>
  <si>
    <t>Taşınabilir ses sistemi (kontrol-  Zaten Vardı )</t>
  </si>
  <si>
    <t>SIRA NO: 9 -İcra edilecek eğitimlerde görsel ve dijital materyallerin oynatılması için;
HDMI, USB, Bluetooth özelliklerine sahip, Full HD 50” televizyon ve ayaklığı.</t>
  </si>
  <si>
    <t>SIRA NO: 10 -Dorse içerisinde icra edilecek eğitimlerde bazı konuları çizerek ve yazarak anlatmak için uygun ölçüde yazı tahtası.</t>
  </si>
  <si>
    <t>SIRA NO: 11 -Uygulamalı platform olarak kullanılacak çadırın hava şartlarından dolayı bozulmaması ve platform sınırlarını trafik alanı görünümüne dönüştürmek amacıyla;
50 cm yüksekliğinde, tek reflektif şeritli ve ağırlıklı trafik dubası.</t>
  </si>
  <si>
    <t>SIRA NO: 12 -Okul dışında veya açık alanda icra edilecek eğitimlerde çocuklara sınıf ortamında olduklarını hissettirmek amacıyla eğitimcilerin kullanması için katlanır sandalye.</t>
  </si>
  <si>
    <t>SIRA NO: 13 -Okul dışında veya açık alanda icra edilecek eğitimlerde çocuklara sınıf ortamında olduklarını hissettirmek amacıyla eğitimcilerin kullanması için katlanır masa.</t>
  </si>
  <si>
    <t>SIRA NO: 14 - Uygulamalı eğitim platformu üzerinde 5-12 yaş grubu çocukların bisiklet kullanımında dikkat edeceği kuralların anlatılması amacıyla bisiklet kaskı.</t>
  </si>
  <si>
    <t>SIRA NO: 15 - Uygulamalı eğitim platformu üzerinde 5-12 yaş grubu çocukların bisiklet kullanımında dikkat edeceği kuralların anlatılması için;
24” ve 26” ebatlarında bisiklet.</t>
  </si>
  <si>
    <t>SIRA NO: 16 -Alkol simülasyon gözlüğü ile icra edilecek eğitimlerde kullanılmak amacıyla futbol topu.</t>
  </si>
  <si>
    <t>SIRA NO: 17 - İcra edilen eğitimlerde dijital görsellerin hazırlanması, sunulması ve depolanması amacıyla;
1 TB kapasiteli, standart özelliklere sahip taşınabilir dizüstü bilgisayar.</t>
  </si>
  <si>
    <t>Televizyon Ayaklığı</t>
  </si>
  <si>
    <t>Set</t>
  </si>
  <si>
    <t>Uygulamalı Eğitim Brandası
Elektrik İşçiliği</t>
  </si>
  <si>
    <t>Flex Led  Gün Işığı</t>
  </si>
  <si>
    <t>Metre</t>
  </si>
  <si>
    <t>Uygulamalı Eğitim Brandası
Flex Led Işık</t>
  </si>
  <si>
    <t xml:space="preserve">4 bağlantılı 12V özel çipli elektrik altyapısı </t>
  </si>
  <si>
    <t>Uygulamalı Eğitim Brandası
Taşıma Kılıfı</t>
  </si>
  <si>
    <t>400gr Avrupa Vinil Baskı Baskılı
(daha kalın bir malzeme için m2 fiyat yükselir)
Flex Ledler için arkadan Kanal</t>
  </si>
  <si>
    <r>
      <t>2.1.</t>
    </r>
    <r>
      <rPr>
        <sz val="7"/>
        <color theme="1"/>
        <rFont val="Century Gothic"/>
        <family val="2"/>
        <charset val="162"/>
      </rPr>
      <t xml:space="preserve">    </t>
    </r>
    <r>
      <rPr>
        <sz val="11"/>
        <color theme="1"/>
        <rFont val="Century Gothic"/>
        <family val="2"/>
        <charset val="162"/>
      </rPr>
      <t>Malzeme taşıma bölümünün yan du varları ve tavan</t>
    </r>
    <r>
      <rPr>
        <sz val="11"/>
        <color rgb="FF111111"/>
        <rFont val="Century Gothic"/>
        <family val="2"/>
        <charset val="162"/>
      </rPr>
      <t xml:space="preserve">ı </t>
    </r>
    <r>
      <rPr>
        <sz val="11"/>
        <color theme="1"/>
        <rFont val="Century Gothic"/>
        <family val="2"/>
        <charset val="162"/>
      </rPr>
      <t xml:space="preserve">en </t>
    </r>
    <r>
      <rPr>
        <sz val="11"/>
        <color rgb="FF0A0A0A"/>
        <rFont val="Century Gothic"/>
        <family val="2"/>
        <charset val="162"/>
      </rPr>
      <t xml:space="preserve">az </t>
    </r>
    <r>
      <rPr>
        <sz val="11"/>
        <color theme="1"/>
        <rFont val="Century Gothic"/>
        <family val="2"/>
        <charset val="162"/>
      </rPr>
      <t>25mm (yirmi beş milimetre) +5mm (artı eksi beş milimetre) ka]ınlığında ses ve ısı yalıtlmı yapabilen malzeme ile kaplanacaktır.</t>
    </r>
  </si>
  <si>
    <r>
      <t xml:space="preserve">2.3 Malzeme taşıma bölümü üzerine 18 mm (on sekiz milimetre) *3mm (artı eksi üç milimetre) suya: dayanıklı su kontrası ile kaplanacaktır. </t>
    </r>
    <r>
      <rPr>
        <sz val="11"/>
        <color rgb="FFFF0000"/>
        <rFont val="Century Gothic"/>
        <family val="2"/>
        <charset val="162"/>
      </rPr>
      <t>Su kontrasının altına poliüretan köpük uygulanacaktır.</t>
    </r>
  </si>
  <si>
    <t>Paspas</t>
  </si>
  <si>
    <t>Ürün Özel ürettirilen bir ürün olup aldığımzı fiyattır. Tolga Şansaldan da fiyat istendi. Düz ürün alıp talep edilen ürünleri modifiye edilip maliyet düşürülebilir</t>
  </si>
  <si>
    <t xml:space="preserve">Televizyon </t>
  </si>
  <si>
    <t xml:space="preserve">Yazı tahtası </t>
  </si>
  <si>
    <t xml:space="preserve">Trafik dubası </t>
  </si>
  <si>
    <t>Sandalye</t>
  </si>
  <si>
    <t>Katlanır Masa</t>
  </si>
  <si>
    <t xml:space="preserve">Dizüstü bilgisayar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</si>
</sst>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₺&quot;* #,##0.00_-;\-&quot;₺&quot;* #,##0.00_-;_-&quot;₺&quot;* &quot;-&quot;??_-;_-@_-"/>
    <numFmt numFmtId="164" formatCode="_-[$$-409]* #,##0.00_ ;_-[$$-409]* \-#,##0.00\ ;_-[$$-409]* &quot;-&quot;??_ ;_-@_ "/>
    <numFmt numFmtId="165" formatCode="_-[$€-2]\ * #,##0.00_-;\-[$€-2]\ * #,##0.00_-;_-[$€-2]\ * &quot;-&quot;??_-;_-@_-"/>
    <numFmt numFmtId="166" formatCode="_-[$₺-41F]* #,##0.00_-;\-[$₺-41F]* #,##0.00_-;_-[$₺-41F]* &quot;-&quot;??_-;_-@_-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  <charset val="162"/>
    </font>
    <font>
      <b/>
      <sz val="13"/>
      <color theme="1"/>
      <name val="Century Gothic"/>
      <family val="2"/>
      <charset val="162"/>
    </font>
    <font>
      <sz val="13"/>
      <color theme="1"/>
      <name val="Century Gothic"/>
      <family val="2"/>
      <charset val="162"/>
    </font>
    <font>
      <b/>
      <sz val="11"/>
      <color theme="1"/>
      <name val="Century Gothic"/>
      <family val="2"/>
      <charset val="162"/>
    </font>
    <font>
      <b/>
      <sz val="11"/>
      <color rgb="FF000000"/>
      <name val="Century Gothic"/>
      <family val="2"/>
      <charset val="162"/>
    </font>
    <font>
      <sz val="11"/>
      <color rgb="FF000000"/>
      <name val="Century Gothic"/>
      <family val="2"/>
      <charset val="162"/>
    </font>
    <font>
      <b/>
      <sz val="13"/>
      <color indexed="8"/>
      <name val="SWGDT"/>
    </font>
    <font>
      <b/>
      <sz val="13"/>
      <color indexed="8"/>
      <name val="Century Gothic"/>
      <family val="2"/>
      <charset val="162"/>
    </font>
    <font>
      <sz val="7"/>
      <color theme="1"/>
      <name val="Century Gothic"/>
      <family val="2"/>
      <charset val="162"/>
    </font>
    <font>
      <sz val="11"/>
      <color rgb="FF111111"/>
      <name val="Century Gothic"/>
      <family val="2"/>
      <charset val="162"/>
    </font>
    <font>
      <sz val="11"/>
      <color rgb="FF0A0A0A"/>
      <name val="Century Gothic"/>
      <family val="2"/>
      <charset val="162"/>
    </font>
    <font>
      <sz val="11"/>
      <color rgb="FFFF0000"/>
      <name val="Century Gothic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4" fontId="4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</cellStyleXfs>
  <cellXfs count="106">
    <xf numFmtId="0" fontId="0" fillId="0" borderId="0" xfId="0"/>
    <xf numFmtId="0" fontId="5" fillId="0" borderId="9" xfId="0" applyFont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44" fontId="6" fillId="4" borderId="13" xfId="1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49" fontId="7" fillId="0" borderId="0" xfId="3" applyNumberFormat="1" applyFont="1" applyAlignment="1">
      <alignment horizontal="center" vertical="center" wrapText="1"/>
    </xf>
    <xf numFmtId="0" fontId="7" fillId="0" borderId="0" xfId="3" applyFont="1" applyAlignment="1">
      <alignment horizontal="center" vertical="center" wrapText="1"/>
    </xf>
    <xf numFmtId="0" fontId="2" fillId="0" borderId="0" xfId="3"/>
    <xf numFmtId="0" fontId="7" fillId="0" borderId="0" xfId="3" applyFont="1" applyAlignment="1">
      <alignment horizontal="left" vertical="center" wrapText="1"/>
    </xf>
    <xf numFmtId="49" fontId="2" fillId="0" borderId="0" xfId="3" applyNumberFormat="1"/>
    <xf numFmtId="49" fontId="7" fillId="0" borderId="9" xfId="3" applyNumberFormat="1" applyFont="1" applyBorder="1" applyAlignment="1">
      <alignment horizontal="center" vertical="center" wrapText="1"/>
    </xf>
    <xf numFmtId="0" fontId="7" fillId="0" borderId="9" xfId="3" applyFont="1" applyBorder="1" applyAlignment="1">
      <alignment horizontal="center" vertical="center" wrapText="1"/>
    </xf>
    <xf numFmtId="0" fontId="7" fillId="0" borderId="9" xfId="3" applyFont="1" applyBorder="1" applyAlignment="1">
      <alignment horizontal="left" vertical="center" wrapText="1"/>
    </xf>
    <xf numFmtId="0" fontId="7" fillId="7" borderId="9" xfId="3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44" fontId="5" fillId="2" borderId="17" xfId="1" applyFont="1" applyFill="1" applyBorder="1" applyAlignment="1">
      <alignment horizontal="center" vertical="center" wrapText="1"/>
    </xf>
    <xf numFmtId="0" fontId="5" fillId="6" borderId="18" xfId="0" applyFont="1" applyFill="1" applyBorder="1" applyAlignment="1">
      <alignment horizontal="center" vertical="center" wrapText="1"/>
    </xf>
    <xf numFmtId="0" fontId="5" fillId="6" borderId="20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 wrapText="1"/>
    </xf>
    <xf numFmtId="0" fontId="5" fillId="0" borderId="0" xfId="3" applyFont="1"/>
    <xf numFmtId="165" fontId="5" fillId="0" borderId="9" xfId="3" applyNumberFormat="1" applyFont="1" applyBorder="1"/>
    <xf numFmtId="44" fontId="5" fillId="0" borderId="9" xfId="1" applyFont="1" applyBorder="1"/>
    <xf numFmtId="44" fontId="5" fillId="0" borderId="9" xfId="3" applyNumberFormat="1" applyFont="1" applyBorder="1"/>
    <xf numFmtId="166" fontId="5" fillId="0" borderId="9" xfId="3" applyNumberFormat="1" applyFont="1" applyBorder="1"/>
    <xf numFmtId="0" fontId="5" fillId="0" borderId="9" xfId="3" applyFont="1" applyBorder="1"/>
    <xf numFmtId="44" fontId="5" fillId="0" borderId="16" xfId="1" applyFont="1" applyBorder="1"/>
    <xf numFmtId="44" fontId="8" fillId="0" borderId="15" xfId="3" applyNumberFormat="1" applyFont="1" applyBorder="1" applyAlignment="1">
      <alignment horizontal="center" vertical="center"/>
    </xf>
    <xf numFmtId="49" fontId="6" fillId="4" borderId="9" xfId="3" applyNumberFormat="1" applyFont="1" applyFill="1" applyBorder="1" applyAlignment="1">
      <alignment horizontal="center" vertical="center" wrapText="1"/>
    </xf>
    <xf numFmtId="0" fontId="6" fillId="4" borderId="9" xfId="3" applyFont="1" applyFill="1" applyBorder="1" applyAlignment="1">
      <alignment horizontal="center" vertical="center" wrapText="1"/>
    </xf>
    <xf numFmtId="0" fontId="8" fillId="4" borderId="9" xfId="3" applyFont="1" applyFill="1" applyBorder="1"/>
    <xf numFmtId="164" fontId="5" fillId="0" borderId="9" xfId="3" applyNumberFormat="1" applyFont="1" applyBorder="1"/>
    <xf numFmtId="44" fontId="5" fillId="0" borderId="16" xfId="3" applyNumberFormat="1" applyFont="1" applyBorder="1"/>
    <xf numFmtId="44" fontId="8" fillId="0" borderId="15" xfId="3" applyNumberFormat="1" applyFont="1" applyBorder="1"/>
    <xf numFmtId="0" fontId="5" fillId="0" borderId="0" xfId="0" applyFont="1"/>
    <xf numFmtId="0" fontId="9" fillId="3" borderId="12" xfId="0" applyFont="1" applyFill="1" applyBorder="1" applyAlignment="1">
      <alignment vertical="center" wrapText="1"/>
    </xf>
    <xf numFmtId="0" fontId="9" fillId="3" borderId="7" xfId="0" applyFont="1" applyFill="1" applyBorder="1" applyAlignment="1">
      <alignment vertical="center" wrapText="1"/>
    </xf>
    <xf numFmtId="0" fontId="9" fillId="3" borderId="14" xfId="0" applyFont="1" applyFill="1" applyBorder="1" applyAlignment="1">
      <alignment vertical="center" wrapText="1"/>
    </xf>
    <xf numFmtId="0" fontId="9" fillId="5" borderId="11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5" fillId="0" borderId="9" xfId="0" applyFont="1" applyBorder="1"/>
    <xf numFmtId="0" fontId="10" fillId="2" borderId="26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44" fontId="5" fillId="7" borderId="17" xfId="1" applyFont="1" applyFill="1" applyBorder="1" applyAlignment="1">
      <alignment horizontal="center" vertical="center" wrapText="1"/>
    </xf>
    <xf numFmtId="164" fontId="5" fillId="2" borderId="17" xfId="1" applyNumberFormat="1" applyFont="1" applyFill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44" fontId="5" fillId="2" borderId="27" xfId="1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44" fontId="5" fillId="2" borderId="19" xfId="1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44" fontId="5" fillId="2" borderId="28" xfId="1" applyFont="1" applyFill="1" applyBorder="1" applyAlignment="1">
      <alignment horizontal="center" vertical="center" wrapText="1"/>
    </xf>
    <xf numFmtId="0" fontId="5" fillId="7" borderId="17" xfId="0" applyFont="1" applyFill="1" applyBorder="1" applyAlignment="1">
      <alignment horizontal="center" vertical="center" wrapText="1"/>
    </xf>
    <xf numFmtId="49" fontId="6" fillId="8" borderId="9" xfId="4" applyNumberFormat="1" applyFont="1" applyFill="1" applyBorder="1" applyAlignment="1">
      <alignment horizontal="center" vertical="center" wrapText="1"/>
    </xf>
    <xf numFmtId="0" fontId="6" fillId="8" borderId="9" xfId="4" applyFont="1" applyFill="1" applyBorder="1" applyAlignment="1">
      <alignment horizontal="center" vertical="center" wrapText="1"/>
    </xf>
    <xf numFmtId="0" fontId="1" fillId="0" borderId="0" xfId="4"/>
    <xf numFmtId="49" fontId="5" fillId="0" borderId="9" xfId="4" applyNumberFormat="1" applyFont="1" applyBorder="1" applyAlignment="1">
      <alignment horizontal="center" vertical="center" wrapText="1"/>
    </xf>
    <xf numFmtId="0" fontId="5" fillId="0" borderId="9" xfId="4" applyFont="1" applyBorder="1" applyAlignment="1">
      <alignment horizontal="left" vertical="center" wrapText="1"/>
    </xf>
    <xf numFmtId="0" fontId="5" fillId="0" borderId="9" xfId="4" applyFont="1" applyBorder="1" applyAlignment="1">
      <alignment horizontal="center" vertical="center" wrapText="1"/>
    </xf>
    <xf numFmtId="44" fontId="5" fillId="0" borderId="9" xfId="4" applyNumberFormat="1" applyFont="1" applyBorder="1" applyAlignment="1">
      <alignment horizontal="center" vertical="center" wrapText="1"/>
    </xf>
    <xf numFmtId="44" fontId="6" fillId="0" borderId="17" xfId="4" applyNumberFormat="1" applyFont="1" applyBorder="1" applyAlignment="1">
      <alignment horizontal="center" vertical="center" wrapText="1"/>
    </xf>
    <xf numFmtId="9" fontId="1" fillId="0" borderId="0" xfId="4" applyNumberFormat="1"/>
    <xf numFmtId="44" fontId="6" fillId="4" borderId="17" xfId="4" applyNumberFormat="1" applyFont="1" applyFill="1" applyBorder="1" applyAlignment="1">
      <alignment horizontal="center" vertical="center" wrapText="1"/>
    </xf>
    <xf numFmtId="0" fontId="5" fillId="0" borderId="9" xfId="0" applyFont="1" applyBorder="1" applyAlignment="1">
      <alignment vertical="center"/>
    </xf>
    <xf numFmtId="0" fontId="10" fillId="6" borderId="19" xfId="0" applyFont="1" applyFill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center" vertical="center" wrapText="1"/>
    </xf>
    <xf numFmtId="0" fontId="10" fillId="6" borderId="22" xfId="0" applyFont="1" applyFill="1" applyBorder="1" applyAlignment="1">
      <alignment horizontal="center" vertical="center" wrapText="1"/>
    </xf>
    <xf numFmtId="0" fontId="10" fillId="6" borderId="17" xfId="0" applyFont="1" applyFill="1" applyBorder="1" applyAlignment="1">
      <alignment horizontal="center" vertical="center" wrapText="1"/>
    </xf>
    <xf numFmtId="0" fontId="10" fillId="6" borderId="16" xfId="0" applyFont="1" applyFill="1" applyBorder="1" applyAlignment="1">
      <alignment horizontal="center" vertical="center" wrapText="1"/>
    </xf>
    <xf numFmtId="0" fontId="16" fillId="7" borderId="17" xfId="0" applyFont="1" applyFill="1" applyBorder="1" applyAlignment="1">
      <alignment horizontal="center" vertical="center" wrapText="1"/>
    </xf>
    <xf numFmtId="0" fontId="10" fillId="7" borderId="17" xfId="0" applyFont="1" applyFill="1" applyBorder="1" applyAlignment="1">
      <alignment horizontal="center" vertical="center" wrapText="1"/>
    </xf>
    <xf numFmtId="44" fontId="5" fillId="0" borderId="9" xfId="1" applyFont="1" applyBorder="1" applyAlignment="1">
      <alignment horizontal="center" vertical="center" wrapText="1"/>
    </xf>
    <xf numFmtId="166" fontId="5" fillId="2" borderId="9" xfId="0" applyNumberFormat="1" applyFont="1" applyFill="1" applyBorder="1" applyAlignment="1">
      <alignment horizontal="center" vertical="center" wrapText="1"/>
    </xf>
    <xf numFmtId="44" fontId="5" fillId="2" borderId="9" xfId="1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44" fontId="10" fillId="2" borderId="23" xfId="1" applyFont="1" applyFill="1" applyBorder="1" applyAlignment="1">
      <alignment horizontal="center" vertical="center" wrapText="1"/>
    </xf>
    <xf numFmtId="44" fontId="10" fillId="2" borderId="24" xfId="1" applyFont="1" applyFill="1" applyBorder="1" applyAlignment="1">
      <alignment horizontal="center" vertical="center" wrapText="1"/>
    </xf>
    <xf numFmtId="44" fontId="10" fillId="2" borderId="25" xfId="1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44" fontId="5" fillId="2" borderId="23" xfId="1" applyFont="1" applyFill="1" applyBorder="1" applyAlignment="1">
      <alignment horizontal="center" vertical="center" wrapText="1"/>
    </xf>
    <xf numFmtId="44" fontId="5" fillId="2" borderId="24" xfId="1" applyFont="1" applyFill="1" applyBorder="1" applyAlignment="1">
      <alignment horizontal="center" vertical="center" wrapText="1"/>
    </xf>
    <xf numFmtId="44" fontId="5" fillId="2" borderId="25" xfId="1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17" fontId="9" fillId="5" borderId="12" xfId="0" applyNumberFormat="1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C66B7E1D-A5FE-4202-B3CB-85042E77FB28}"/>
    <cellStyle name="Normal 2 2" xfId="4" xr:uid="{BA6E2327-0D8A-4013-9BCF-B714375F8003}"/>
    <cellStyle name="Normal 3" xfId="3" xr:uid="{6C025FA8-A1A2-43EB-9168-3FB0D43048AA}"/>
    <cellStyle name="ParaBirimi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91D67-9FBE-482C-9A2F-FF513BE09D6F}">
  <sheetPr>
    <pageSetUpPr fitToPage="1"/>
  </sheetPr>
  <dimension ref="A1:K56"/>
  <sheetViews>
    <sheetView tabSelected="1" topLeftCell="A35" zoomScale="85" zoomScaleNormal="85" workbookViewId="0">
      <pane xSplit="1" topLeftCell="B1" activePane="topRight" state="frozen"/>
      <selection pane="topRight" activeCell="G39" sqref="G39"/>
    </sheetView>
  </sheetViews>
  <sheetFormatPr defaultColWidth="9.140625" defaultRowHeight="16.5"/>
  <cols>
    <col min="1" max="1" width="29.5703125" style="34" bestFit="1" customWidth="1"/>
    <col min="2" max="2" width="37.5703125" style="34" customWidth="1"/>
    <col min="3" max="3" width="26.140625" style="34" customWidth="1"/>
    <col min="4" max="4" width="12.28515625" style="34" customWidth="1"/>
    <col min="5" max="5" width="31.85546875" style="34" customWidth="1"/>
    <col min="6" max="6" width="9.5703125" style="34" customWidth="1"/>
    <col min="7" max="8" width="13.85546875" style="34" customWidth="1"/>
    <col min="9" max="9" width="17.42578125" style="34" customWidth="1"/>
    <col min="10" max="11" width="15.85546875" style="34" bestFit="1" customWidth="1"/>
    <col min="12" max="16384" width="9.140625" style="34"/>
  </cols>
  <sheetData>
    <row r="1" spans="1:9" ht="17.25" thickBot="1">
      <c r="C1" s="34">
        <v>43.922199999999997</v>
      </c>
      <c r="D1" s="34">
        <v>51.753900000000002</v>
      </c>
    </row>
    <row r="2" spans="1:9" ht="45.75" customHeight="1" thickBot="1">
      <c r="A2" s="35" t="s">
        <v>4</v>
      </c>
      <c r="B2" s="35"/>
      <c r="C2" s="84" t="s">
        <v>15</v>
      </c>
      <c r="D2" s="85"/>
      <c r="E2" s="85"/>
      <c r="F2" s="85"/>
      <c r="G2" s="85"/>
      <c r="H2" s="85"/>
      <c r="I2" s="86"/>
    </row>
    <row r="3" spans="1:9" ht="30.75" customHeight="1" thickBot="1">
      <c r="A3" s="36" t="s">
        <v>1</v>
      </c>
      <c r="B3" s="36"/>
      <c r="C3" s="84" t="s">
        <v>139</v>
      </c>
      <c r="D3" s="85"/>
      <c r="E3" s="85"/>
      <c r="F3" s="85"/>
      <c r="G3" s="85"/>
      <c r="H3" s="85"/>
      <c r="I3" s="86"/>
    </row>
    <row r="4" spans="1:9" ht="17.25" thickBot="1">
      <c r="A4" s="36" t="s">
        <v>0</v>
      </c>
      <c r="B4" s="36"/>
      <c r="C4" s="84"/>
      <c r="D4" s="85"/>
      <c r="E4" s="85"/>
      <c r="F4" s="85"/>
      <c r="G4" s="85"/>
      <c r="H4" s="85"/>
      <c r="I4" s="86"/>
    </row>
    <row r="5" spans="1:9" ht="17.25" thickBot="1">
      <c r="A5" s="36" t="s">
        <v>2</v>
      </c>
      <c r="B5" s="37"/>
      <c r="C5" s="103" t="s">
        <v>38</v>
      </c>
      <c r="D5" s="104"/>
      <c r="E5" s="104"/>
      <c r="F5" s="104"/>
      <c r="G5" s="104"/>
      <c r="H5" s="104"/>
      <c r="I5" s="105"/>
    </row>
    <row r="6" spans="1:9" ht="17.25" thickBot="1">
      <c r="A6" s="36" t="s">
        <v>6</v>
      </c>
      <c r="B6" s="36"/>
      <c r="C6" s="99"/>
      <c r="D6" s="85"/>
      <c r="E6" s="85"/>
      <c r="F6" s="85"/>
      <c r="G6" s="85"/>
      <c r="H6" s="85"/>
      <c r="I6" s="86"/>
    </row>
    <row r="7" spans="1:9" ht="17.25" thickBot="1">
      <c r="A7" s="36" t="s">
        <v>3</v>
      </c>
      <c r="B7" s="36"/>
      <c r="C7" s="100">
        <v>10</v>
      </c>
      <c r="D7" s="101"/>
      <c r="E7" s="101"/>
      <c r="F7" s="101"/>
      <c r="G7" s="101"/>
      <c r="H7" s="101"/>
      <c r="I7" s="102"/>
    </row>
    <row r="8" spans="1:9" ht="7.9" customHeight="1" thickBot="1">
      <c r="A8" s="39"/>
      <c r="B8" s="40"/>
      <c r="C8" s="41"/>
      <c r="D8" s="40"/>
      <c r="E8" s="40"/>
      <c r="F8" s="40"/>
      <c r="G8" s="40"/>
      <c r="H8" s="40"/>
      <c r="I8" s="40"/>
    </row>
    <row r="9" spans="1:9" ht="48.75" customHeight="1" thickBot="1">
      <c r="A9" s="42" t="s">
        <v>5</v>
      </c>
      <c r="B9" s="42" t="s">
        <v>14</v>
      </c>
      <c r="C9" s="43" t="s">
        <v>7</v>
      </c>
      <c r="D9" s="38" t="s">
        <v>8</v>
      </c>
      <c r="E9" s="38" t="s">
        <v>11</v>
      </c>
      <c r="F9" s="38" t="s">
        <v>12</v>
      </c>
      <c r="G9" s="38" t="s">
        <v>13</v>
      </c>
      <c r="H9" s="38" t="s">
        <v>9</v>
      </c>
      <c r="I9" s="43" t="s">
        <v>10</v>
      </c>
    </row>
    <row r="10" spans="1:9" ht="115.5">
      <c r="A10" s="17" t="s">
        <v>16</v>
      </c>
      <c r="B10" s="74" t="s">
        <v>179</v>
      </c>
      <c r="C10" s="44"/>
      <c r="D10" s="44">
        <v>1</v>
      </c>
      <c r="E10" s="90" t="s">
        <v>89</v>
      </c>
      <c r="F10" s="48" t="s">
        <v>88</v>
      </c>
      <c r="G10" s="44"/>
      <c r="H10" s="44"/>
      <c r="I10" s="87">
        <f>'İç Döşeme Maliyet Kırılımı'!H10</f>
        <v>39395.784230000005</v>
      </c>
    </row>
    <row r="11" spans="1:9" ht="58.9" customHeight="1">
      <c r="A11" s="18" t="s">
        <v>18</v>
      </c>
      <c r="B11" s="75" t="s">
        <v>17</v>
      </c>
      <c r="C11" s="45"/>
      <c r="D11" s="45">
        <v>1</v>
      </c>
      <c r="E11" s="91"/>
      <c r="F11" s="50" t="s">
        <v>88</v>
      </c>
      <c r="G11" s="45"/>
      <c r="H11" s="45"/>
      <c r="I11" s="88"/>
    </row>
    <row r="12" spans="1:9" ht="90" customHeight="1">
      <c r="A12" s="18" t="s">
        <v>19</v>
      </c>
      <c r="B12" s="75" t="s">
        <v>39</v>
      </c>
      <c r="C12" s="45"/>
      <c r="D12" s="45">
        <v>1</v>
      </c>
      <c r="E12" s="91"/>
      <c r="F12" s="50" t="s">
        <v>88</v>
      </c>
      <c r="G12" s="45"/>
      <c r="H12" s="45"/>
      <c r="I12" s="88"/>
    </row>
    <row r="13" spans="1:9" ht="79.150000000000006" customHeight="1">
      <c r="A13" s="18" t="s">
        <v>20</v>
      </c>
      <c r="B13" s="75" t="s">
        <v>180</v>
      </c>
      <c r="C13" s="45"/>
      <c r="D13" s="45">
        <v>1</v>
      </c>
      <c r="E13" s="91"/>
      <c r="F13" s="50" t="s">
        <v>88</v>
      </c>
      <c r="G13" s="45"/>
      <c r="H13" s="45"/>
      <c r="I13" s="88"/>
    </row>
    <row r="14" spans="1:9" ht="72" customHeight="1" thickBot="1">
      <c r="A14" s="19" t="s">
        <v>22</v>
      </c>
      <c r="B14" s="76" t="s">
        <v>21</v>
      </c>
      <c r="C14" s="46"/>
      <c r="D14" s="46">
        <v>1</v>
      </c>
      <c r="E14" s="92"/>
      <c r="F14" s="49" t="s">
        <v>88</v>
      </c>
      <c r="G14" s="46"/>
      <c r="H14" s="46"/>
      <c r="I14" s="89"/>
    </row>
    <row r="15" spans="1:9" ht="115.9" customHeight="1">
      <c r="A15" s="14" t="s">
        <v>27</v>
      </c>
      <c r="B15" s="77" t="s">
        <v>40</v>
      </c>
      <c r="C15" s="15"/>
      <c r="D15" s="15">
        <v>4</v>
      </c>
      <c r="E15" s="15" t="s">
        <v>87</v>
      </c>
      <c r="F15" s="15" t="s">
        <v>90</v>
      </c>
      <c r="G15" s="16">
        <v>650</v>
      </c>
      <c r="H15" s="16">
        <f>G15*$D$15</f>
        <v>2600</v>
      </c>
      <c r="I15" s="16">
        <f>H15</f>
        <v>2600</v>
      </c>
    </row>
    <row r="16" spans="1:9" ht="115.9" customHeight="1">
      <c r="A16" s="4" t="s">
        <v>91</v>
      </c>
      <c r="B16" s="75"/>
      <c r="C16" s="2"/>
      <c r="D16" s="2">
        <v>1</v>
      </c>
      <c r="E16" s="2"/>
      <c r="F16" s="2" t="s">
        <v>92</v>
      </c>
      <c r="G16" s="16">
        <v>1000</v>
      </c>
      <c r="H16" s="16">
        <f>G16*D$16</f>
        <v>1000</v>
      </c>
      <c r="I16" s="16">
        <f t="shared" ref="I16:I19" si="0">H16</f>
        <v>1000</v>
      </c>
    </row>
    <row r="17" spans="1:9" ht="112.15" customHeight="1">
      <c r="A17" s="4" t="s">
        <v>24</v>
      </c>
      <c r="B17" s="75" t="s">
        <v>23</v>
      </c>
      <c r="C17" s="1"/>
      <c r="D17" s="1">
        <v>1</v>
      </c>
      <c r="E17" s="1"/>
      <c r="F17" s="1" t="s">
        <v>90</v>
      </c>
      <c r="G17" s="16">
        <v>4000</v>
      </c>
      <c r="H17" s="16">
        <f>G17*D$16</f>
        <v>4000</v>
      </c>
      <c r="I17" s="16">
        <f t="shared" si="0"/>
        <v>4000</v>
      </c>
    </row>
    <row r="18" spans="1:9" ht="99">
      <c r="A18" s="4" t="s">
        <v>25</v>
      </c>
      <c r="B18" s="75" t="s">
        <v>23</v>
      </c>
      <c r="C18" s="1"/>
      <c r="D18" s="1">
        <v>1</v>
      </c>
      <c r="E18" s="1"/>
      <c r="F18" s="1" t="s">
        <v>90</v>
      </c>
      <c r="G18" s="16">
        <v>2000</v>
      </c>
      <c r="H18" s="16">
        <f>G18*$D$16</f>
        <v>2000</v>
      </c>
      <c r="I18" s="16">
        <f t="shared" si="0"/>
        <v>2000</v>
      </c>
    </row>
    <row r="19" spans="1:9" ht="91.9" customHeight="1">
      <c r="A19" s="4" t="s">
        <v>26</v>
      </c>
      <c r="B19" s="75" t="s">
        <v>28</v>
      </c>
      <c r="C19" s="1"/>
      <c r="D19" s="1">
        <v>2</v>
      </c>
      <c r="E19" s="1" t="s">
        <v>97</v>
      </c>
      <c r="F19" s="1" t="s">
        <v>90</v>
      </c>
      <c r="G19" s="16">
        <v>100</v>
      </c>
      <c r="H19" s="16">
        <f>D19*G19</f>
        <v>200</v>
      </c>
      <c r="I19" s="16">
        <f t="shared" si="0"/>
        <v>200</v>
      </c>
    </row>
    <row r="20" spans="1:9" ht="97.9" customHeight="1">
      <c r="A20" s="4" t="s">
        <v>30</v>
      </c>
      <c r="B20" s="75" t="s">
        <v>29</v>
      </c>
      <c r="C20" s="1"/>
      <c r="D20" s="1">
        <v>1</v>
      </c>
      <c r="E20" s="1"/>
      <c r="F20" s="1" t="s">
        <v>90</v>
      </c>
      <c r="G20" s="54">
        <v>265</v>
      </c>
      <c r="H20" s="16">
        <f>G20*C1</f>
        <v>11639.383</v>
      </c>
      <c r="I20" s="16">
        <f>H20</f>
        <v>11639.383</v>
      </c>
    </row>
    <row r="21" spans="1:9" ht="97.9" customHeight="1" thickBot="1">
      <c r="A21" s="55" t="s">
        <v>93</v>
      </c>
      <c r="B21" s="78"/>
      <c r="C21" s="56"/>
      <c r="D21" s="56">
        <v>1</v>
      </c>
      <c r="E21" s="56"/>
      <c r="F21" s="56" t="s">
        <v>88</v>
      </c>
      <c r="G21" s="57">
        <f>'Invertör Montaj Maliyet Kırılım'!G22</f>
        <v>3761.9719999999998</v>
      </c>
      <c r="H21" s="57">
        <f>D21*G21</f>
        <v>3761.9719999999998</v>
      </c>
      <c r="I21" s="57">
        <f>H21</f>
        <v>3761.9719999999998</v>
      </c>
    </row>
    <row r="22" spans="1:9" ht="115.5">
      <c r="A22" s="17" t="s">
        <v>32</v>
      </c>
      <c r="B22" s="74" t="s">
        <v>31</v>
      </c>
      <c r="C22" s="58"/>
      <c r="D22" s="58">
        <v>1</v>
      </c>
      <c r="E22" s="96" t="s">
        <v>94</v>
      </c>
      <c r="F22" s="58"/>
      <c r="G22" s="59"/>
      <c r="H22" s="59"/>
      <c r="I22" s="93">
        <f>'Dolap Maliyet Kırılımı'!I6</f>
        <v>48979.647999999994</v>
      </c>
    </row>
    <row r="23" spans="1:9" ht="66">
      <c r="A23" s="18" t="s">
        <v>33</v>
      </c>
      <c r="B23" s="75" t="s">
        <v>34</v>
      </c>
      <c r="C23" s="1"/>
      <c r="D23" s="1">
        <v>1</v>
      </c>
      <c r="E23" s="97"/>
      <c r="F23" s="1"/>
      <c r="G23" s="16"/>
      <c r="H23" s="16"/>
      <c r="I23" s="94"/>
    </row>
    <row r="24" spans="1:9" ht="50.25" thickBot="1">
      <c r="A24" s="19" t="s">
        <v>36</v>
      </c>
      <c r="B24" s="76" t="s">
        <v>35</v>
      </c>
      <c r="C24" s="60"/>
      <c r="D24" s="60">
        <v>1</v>
      </c>
      <c r="E24" s="98"/>
      <c r="F24" s="60"/>
      <c r="G24" s="61"/>
      <c r="H24" s="61"/>
      <c r="I24" s="95"/>
    </row>
    <row r="25" spans="1:9" ht="151.9" customHeight="1">
      <c r="A25" s="79" t="s">
        <v>42</v>
      </c>
      <c r="B25" s="80" t="s">
        <v>41</v>
      </c>
      <c r="C25" s="62"/>
      <c r="D25" s="62">
        <v>0</v>
      </c>
      <c r="E25" s="62"/>
      <c r="F25" s="62"/>
      <c r="G25" s="53"/>
      <c r="H25" s="53"/>
      <c r="I25" s="53"/>
    </row>
    <row r="26" spans="1:9" ht="102" customHeight="1">
      <c r="A26" s="75" t="s">
        <v>145</v>
      </c>
      <c r="B26" s="4" t="s">
        <v>140</v>
      </c>
      <c r="C26" s="1"/>
      <c r="D26" s="1">
        <v>40</v>
      </c>
      <c r="E26" s="1"/>
      <c r="F26" s="1" t="s">
        <v>95</v>
      </c>
      <c r="G26" s="16">
        <v>2000</v>
      </c>
      <c r="H26" s="16">
        <f t="shared" ref="H26:H27" si="1">D26*G26</f>
        <v>80000</v>
      </c>
      <c r="I26" s="16">
        <f t="shared" ref="I26:I27" si="2">H26</f>
        <v>80000</v>
      </c>
    </row>
    <row r="27" spans="1:9" ht="82.15" customHeight="1">
      <c r="A27" s="4" t="s">
        <v>144</v>
      </c>
      <c r="B27" s="75" t="s">
        <v>37</v>
      </c>
      <c r="C27" s="1"/>
      <c r="D27" s="1">
        <v>60</v>
      </c>
      <c r="E27" s="1"/>
      <c r="F27" s="1" t="s">
        <v>96</v>
      </c>
      <c r="G27" s="16">
        <v>50</v>
      </c>
      <c r="H27" s="16">
        <f t="shared" si="1"/>
        <v>3000</v>
      </c>
      <c r="I27" s="16">
        <f t="shared" si="2"/>
        <v>3000</v>
      </c>
    </row>
    <row r="28" spans="1:9" ht="82.15" customHeight="1">
      <c r="A28" s="4" t="s">
        <v>181</v>
      </c>
      <c r="B28" s="75"/>
      <c r="C28" s="1"/>
      <c r="D28" s="1">
        <v>1</v>
      </c>
      <c r="E28" s="1"/>
      <c r="F28" s="1" t="s">
        <v>90</v>
      </c>
      <c r="G28" s="16">
        <v>1500</v>
      </c>
      <c r="H28" s="16">
        <f t="shared" ref="H28" si="3">D28*G28</f>
        <v>1500</v>
      </c>
      <c r="I28" s="16">
        <f t="shared" ref="I28" si="4">H28</f>
        <v>1500</v>
      </c>
    </row>
    <row r="29" spans="1:9" ht="143.44999999999999" customHeight="1">
      <c r="A29" s="4" t="s">
        <v>141</v>
      </c>
      <c r="B29" s="75" t="s">
        <v>142</v>
      </c>
      <c r="C29" s="1"/>
      <c r="D29" s="1">
        <v>96</v>
      </c>
      <c r="E29" s="1" t="s">
        <v>178</v>
      </c>
      <c r="F29" s="1" t="s">
        <v>95</v>
      </c>
      <c r="G29" s="16">
        <v>475</v>
      </c>
      <c r="H29" s="16">
        <f t="shared" ref="H29" si="5">D29*G29</f>
        <v>45600</v>
      </c>
      <c r="I29" s="16">
        <f t="shared" ref="I29" si="6">H29</f>
        <v>45600</v>
      </c>
    </row>
    <row r="30" spans="1:9" ht="143.44999999999999" customHeight="1">
      <c r="A30" s="4" t="s">
        <v>175</v>
      </c>
      <c r="B30" s="75" t="s">
        <v>173</v>
      </c>
      <c r="C30" s="1"/>
      <c r="D30" s="1">
        <v>50</v>
      </c>
      <c r="E30" s="1"/>
      <c r="F30" s="1" t="s">
        <v>174</v>
      </c>
      <c r="G30" s="16">
        <v>50</v>
      </c>
      <c r="H30" s="16">
        <f t="shared" ref="H30" si="7">D30*G30</f>
        <v>2500</v>
      </c>
      <c r="I30" s="16">
        <f t="shared" ref="I30" si="8">H30</f>
        <v>2500</v>
      </c>
    </row>
    <row r="31" spans="1:9" ht="143.44999999999999" customHeight="1">
      <c r="A31" s="4" t="s">
        <v>172</v>
      </c>
      <c r="B31" s="75" t="s">
        <v>176</v>
      </c>
      <c r="C31" s="1"/>
      <c r="D31" s="1">
        <v>1</v>
      </c>
      <c r="E31" s="1"/>
      <c r="F31" s="1" t="s">
        <v>171</v>
      </c>
      <c r="G31" s="16">
        <v>1000</v>
      </c>
      <c r="H31" s="16">
        <f t="shared" ref="H31:H32" si="9">D31*G31</f>
        <v>1000</v>
      </c>
      <c r="I31" s="16">
        <f t="shared" ref="I31:I32" si="10">H31</f>
        <v>1000</v>
      </c>
    </row>
    <row r="32" spans="1:9" ht="143.44999999999999" customHeight="1">
      <c r="A32" s="4" t="s">
        <v>177</v>
      </c>
      <c r="B32" s="75"/>
      <c r="C32" s="1"/>
      <c r="D32" s="1">
        <v>1</v>
      </c>
      <c r="E32" s="1"/>
      <c r="F32" s="1" t="s">
        <v>90</v>
      </c>
      <c r="G32" s="16">
        <v>500</v>
      </c>
      <c r="H32" s="16">
        <f t="shared" si="9"/>
        <v>500</v>
      </c>
      <c r="I32" s="16">
        <f t="shared" si="10"/>
        <v>500</v>
      </c>
    </row>
    <row r="33" spans="1:9" ht="111.6" customHeight="1">
      <c r="A33" s="75" t="s">
        <v>143</v>
      </c>
      <c r="B33" s="75" t="s">
        <v>146</v>
      </c>
      <c r="C33" s="1"/>
      <c r="D33" s="1">
        <v>2</v>
      </c>
      <c r="E33" s="1" t="s">
        <v>182</v>
      </c>
      <c r="F33" s="1" t="s">
        <v>90</v>
      </c>
      <c r="G33" s="81">
        <v>30000</v>
      </c>
      <c r="H33" s="81">
        <f t="shared" ref="H33:H48" si="11">D33*G33</f>
        <v>60000</v>
      </c>
      <c r="I33" s="81">
        <f t="shared" ref="I33:I48" si="12">H33</f>
        <v>60000</v>
      </c>
    </row>
    <row r="34" spans="1:9" ht="154.9" customHeight="1">
      <c r="A34" s="4" t="s">
        <v>147</v>
      </c>
      <c r="B34" s="75" t="s">
        <v>158</v>
      </c>
      <c r="C34" s="47"/>
      <c r="D34" s="1">
        <v>4</v>
      </c>
      <c r="E34" s="1"/>
      <c r="F34" s="1" t="s">
        <v>171</v>
      </c>
      <c r="G34" s="16">
        <v>2500</v>
      </c>
      <c r="H34" s="16">
        <f t="shared" si="11"/>
        <v>10000</v>
      </c>
      <c r="I34" s="16">
        <f t="shared" si="12"/>
        <v>10000</v>
      </c>
    </row>
    <row r="35" spans="1:9" ht="157.15" customHeight="1">
      <c r="A35" s="4" t="s">
        <v>148</v>
      </c>
      <c r="B35" s="75" t="s">
        <v>149</v>
      </c>
      <c r="C35" s="2"/>
      <c r="D35" s="2" t="s">
        <v>159</v>
      </c>
      <c r="E35" s="2"/>
      <c r="F35" s="2" t="s">
        <v>171</v>
      </c>
      <c r="G35" s="16">
        <v>2500</v>
      </c>
      <c r="H35" s="16">
        <f>G35*1</f>
        <v>2500</v>
      </c>
      <c r="I35" s="16">
        <f t="shared" ref="I35" si="13">H35</f>
        <v>2500</v>
      </c>
    </row>
    <row r="36" spans="1:9" ht="105" customHeight="1">
      <c r="A36" s="4" t="s">
        <v>160</v>
      </c>
      <c r="B36" s="75" t="s">
        <v>150</v>
      </c>
      <c r="C36" s="2"/>
      <c r="D36" s="2">
        <v>1</v>
      </c>
      <c r="E36" s="2"/>
      <c r="F36" s="2" t="s">
        <v>90</v>
      </c>
      <c r="G36" s="16">
        <v>22000</v>
      </c>
      <c r="H36" s="16">
        <f t="shared" si="11"/>
        <v>22000</v>
      </c>
      <c r="I36" s="16">
        <f t="shared" si="12"/>
        <v>22000</v>
      </c>
    </row>
    <row r="37" spans="1:9" ht="128.44999999999999" customHeight="1">
      <c r="A37" s="4" t="s">
        <v>151</v>
      </c>
      <c r="B37" s="75" t="s">
        <v>152</v>
      </c>
      <c r="C37" s="2"/>
      <c r="D37" s="2">
        <v>1</v>
      </c>
      <c r="E37" s="2"/>
      <c r="F37" s="2" t="s">
        <v>90</v>
      </c>
      <c r="G37" s="16">
        <v>1900</v>
      </c>
      <c r="H37" s="16">
        <f t="shared" si="11"/>
        <v>1900</v>
      </c>
      <c r="I37" s="16">
        <f t="shared" si="12"/>
        <v>1900</v>
      </c>
    </row>
    <row r="38" spans="1:9" ht="127.15" customHeight="1">
      <c r="A38" s="4" t="s">
        <v>153</v>
      </c>
      <c r="B38" s="4" t="s">
        <v>154</v>
      </c>
      <c r="C38" s="2"/>
      <c r="D38" s="2">
        <v>1</v>
      </c>
      <c r="E38" s="2"/>
      <c r="F38" s="2" t="s">
        <v>90</v>
      </c>
      <c r="G38" s="83">
        <v>24750</v>
      </c>
      <c r="H38" s="83">
        <f t="shared" si="11"/>
        <v>24750</v>
      </c>
      <c r="I38" s="82">
        <f t="shared" si="12"/>
        <v>24750</v>
      </c>
    </row>
    <row r="39" spans="1:9" ht="85.15" customHeight="1">
      <c r="A39" s="4" t="s">
        <v>183</v>
      </c>
      <c r="B39" s="4" t="s">
        <v>161</v>
      </c>
      <c r="C39" s="2"/>
      <c r="D39" s="2">
        <v>1</v>
      </c>
      <c r="E39" s="2"/>
      <c r="F39" s="2" t="s">
        <v>90</v>
      </c>
      <c r="G39" s="16">
        <v>13000</v>
      </c>
      <c r="H39" s="16">
        <f t="shared" si="11"/>
        <v>13000</v>
      </c>
      <c r="I39" s="16">
        <f t="shared" si="12"/>
        <v>13000</v>
      </c>
    </row>
    <row r="40" spans="1:9" ht="85.15" customHeight="1">
      <c r="A40" s="4" t="s">
        <v>170</v>
      </c>
      <c r="B40" s="4"/>
      <c r="C40" s="2"/>
      <c r="D40" s="2">
        <v>1</v>
      </c>
      <c r="E40" s="2"/>
      <c r="F40" s="2" t="s">
        <v>90</v>
      </c>
      <c r="G40" s="16">
        <v>5000</v>
      </c>
      <c r="H40" s="16">
        <f t="shared" ref="H40" si="14">D40*G40</f>
        <v>5000</v>
      </c>
      <c r="I40" s="16">
        <f t="shared" ref="I40" si="15">H40</f>
        <v>5000</v>
      </c>
    </row>
    <row r="41" spans="1:9" ht="71.45" customHeight="1">
      <c r="A41" s="4" t="s">
        <v>184</v>
      </c>
      <c r="B41" s="4" t="s">
        <v>162</v>
      </c>
      <c r="C41" s="2"/>
      <c r="D41" s="2">
        <v>1</v>
      </c>
      <c r="E41" s="2"/>
      <c r="F41" s="2" t="s">
        <v>90</v>
      </c>
      <c r="G41" s="16">
        <v>1200</v>
      </c>
      <c r="H41" s="16">
        <f t="shared" si="11"/>
        <v>1200</v>
      </c>
      <c r="I41" s="16">
        <f t="shared" si="12"/>
        <v>1200</v>
      </c>
    </row>
    <row r="42" spans="1:9" ht="141.6" customHeight="1">
      <c r="A42" s="4" t="s">
        <v>185</v>
      </c>
      <c r="B42" s="4" t="s">
        <v>163</v>
      </c>
      <c r="C42" s="2"/>
      <c r="D42" s="2">
        <v>10</v>
      </c>
      <c r="E42" s="2"/>
      <c r="F42" s="2" t="s">
        <v>90</v>
      </c>
      <c r="G42" s="16">
        <v>550</v>
      </c>
      <c r="H42" s="16">
        <f t="shared" si="11"/>
        <v>5500</v>
      </c>
      <c r="I42" s="16">
        <f t="shared" si="12"/>
        <v>5500</v>
      </c>
    </row>
    <row r="43" spans="1:9" ht="88.9" customHeight="1">
      <c r="A43" s="4" t="s">
        <v>186</v>
      </c>
      <c r="B43" s="4" t="s">
        <v>164</v>
      </c>
      <c r="C43" s="2"/>
      <c r="D43" s="2">
        <v>2</v>
      </c>
      <c r="E43" s="2"/>
      <c r="F43" s="2" t="s">
        <v>90</v>
      </c>
      <c r="G43" s="16">
        <v>575</v>
      </c>
      <c r="H43" s="16">
        <f t="shared" si="11"/>
        <v>1150</v>
      </c>
      <c r="I43" s="16">
        <f t="shared" si="12"/>
        <v>1150</v>
      </c>
    </row>
    <row r="44" spans="1:9" ht="103.15" customHeight="1">
      <c r="A44" s="4" t="s">
        <v>187</v>
      </c>
      <c r="B44" s="4" t="s">
        <v>165</v>
      </c>
      <c r="C44" s="2"/>
      <c r="D44" s="2">
        <v>1</v>
      </c>
      <c r="E44" s="2"/>
      <c r="F44" s="2" t="s">
        <v>90</v>
      </c>
      <c r="G44" s="16">
        <v>1300</v>
      </c>
      <c r="H44" s="16">
        <f t="shared" si="11"/>
        <v>1300</v>
      </c>
      <c r="I44" s="16">
        <f t="shared" si="12"/>
        <v>1300</v>
      </c>
    </row>
    <row r="45" spans="1:9" ht="82.9" customHeight="1">
      <c r="A45" s="4" t="s">
        <v>155</v>
      </c>
      <c r="B45" s="4" t="s">
        <v>166</v>
      </c>
      <c r="C45" s="2"/>
      <c r="D45" s="2">
        <v>2</v>
      </c>
      <c r="E45" s="2"/>
      <c r="F45" s="2" t="s">
        <v>90</v>
      </c>
      <c r="G45" s="16">
        <v>1000</v>
      </c>
      <c r="H45" s="16">
        <f t="shared" si="11"/>
        <v>2000</v>
      </c>
      <c r="I45" s="16">
        <f t="shared" si="12"/>
        <v>2000</v>
      </c>
    </row>
    <row r="46" spans="1:9" ht="105.6" customHeight="1">
      <c r="A46" s="4" t="s">
        <v>156</v>
      </c>
      <c r="B46" s="4" t="s">
        <v>167</v>
      </c>
      <c r="C46" s="2"/>
      <c r="D46" s="2">
        <v>1</v>
      </c>
      <c r="E46" s="2"/>
      <c r="F46" s="2" t="s">
        <v>90</v>
      </c>
      <c r="G46" s="16">
        <v>4250</v>
      </c>
      <c r="H46" s="16">
        <f t="shared" si="11"/>
        <v>4250</v>
      </c>
      <c r="I46" s="16">
        <f t="shared" si="12"/>
        <v>4250</v>
      </c>
    </row>
    <row r="47" spans="1:9" ht="82.9" customHeight="1">
      <c r="A47" s="4" t="s">
        <v>157</v>
      </c>
      <c r="B47" s="4" t="s">
        <v>168</v>
      </c>
      <c r="C47" s="2"/>
      <c r="D47" s="2">
        <v>1</v>
      </c>
      <c r="E47" s="2"/>
      <c r="F47" s="2" t="s">
        <v>90</v>
      </c>
      <c r="G47" s="16">
        <v>850</v>
      </c>
      <c r="H47" s="16">
        <f t="shared" si="11"/>
        <v>850</v>
      </c>
      <c r="I47" s="16">
        <f t="shared" si="12"/>
        <v>850</v>
      </c>
    </row>
    <row r="48" spans="1:9" ht="106.15" customHeight="1">
      <c r="A48" s="4" t="s">
        <v>188</v>
      </c>
      <c r="B48" s="4" t="s">
        <v>169</v>
      </c>
      <c r="C48" s="2"/>
      <c r="D48" s="2">
        <v>1</v>
      </c>
      <c r="E48" s="2"/>
      <c r="F48" s="2" t="s">
        <v>90</v>
      </c>
      <c r="G48" s="16">
        <v>22000</v>
      </c>
      <c r="H48" s="16">
        <f t="shared" si="11"/>
        <v>22000</v>
      </c>
      <c r="I48" s="16">
        <f t="shared" si="12"/>
        <v>22000</v>
      </c>
    </row>
    <row r="49" spans="1:11" ht="70.5" customHeight="1">
      <c r="A49" s="51"/>
      <c r="B49" s="52"/>
      <c r="C49" s="51"/>
      <c r="D49" s="51"/>
      <c r="E49" s="51"/>
      <c r="F49" s="51"/>
      <c r="G49" s="53"/>
      <c r="H49" s="53"/>
      <c r="I49" s="53"/>
      <c r="J49" s="73" t="s">
        <v>135</v>
      </c>
      <c r="K49" s="73" t="s">
        <v>136</v>
      </c>
    </row>
    <row r="50" spans="1:11" ht="31.5" customHeight="1" thickBot="1">
      <c r="I50" s="3">
        <f>SUM(I10:I49)</f>
        <v>425076.78723000002</v>
      </c>
      <c r="J50" s="3"/>
      <c r="K50" s="3"/>
    </row>
    <row r="54" spans="1:11">
      <c r="H54" s="34" t="s">
        <v>137</v>
      </c>
      <c r="I54" s="34">
        <v>267399</v>
      </c>
    </row>
    <row r="55" spans="1:11">
      <c r="H55" s="34" t="s">
        <v>135</v>
      </c>
      <c r="I55" s="34">
        <v>153000</v>
      </c>
    </row>
    <row r="56" spans="1:11">
      <c r="H56" s="34" t="s">
        <v>138</v>
      </c>
      <c r="I56" s="34">
        <v>114399</v>
      </c>
    </row>
  </sheetData>
  <mergeCells count="10">
    <mergeCell ref="C2:I2"/>
    <mergeCell ref="C3:I3"/>
    <mergeCell ref="I10:I14"/>
    <mergeCell ref="E10:E14"/>
    <mergeCell ref="I22:I24"/>
    <mergeCell ref="E22:E24"/>
    <mergeCell ref="C6:I6"/>
    <mergeCell ref="C7:I7"/>
    <mergeCell ref="C4:I4"/>
    <mergeCell ref="C5:I5"/>
  </mergeCells>
  <pageMargins left="0.70866141732283472" right="0.70866141732283472" top="0.74803149606299213" bottom="0.74803149606299213" header="0.31496062992125984" footer="0.31496062992125984"/>
  <pageSetup paperSize="8" scale="7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0C2C2-A9CB-45C4-8666-A5CA2CE84CF2}">
  <dimension ref="A1:J10"/>
  <sheetViews>
    <sheetView workbookViewId="0">
      <selection activeCell="H2" sqref="H2:H9"/>
    </sheetView>
  </sheetViews>
  <sheetFormatPr defaultColWidth="9.140625" defaultRowHeight="15"/>
  <cols>
    <col min="1" max="1" width="17.7109375" style="7" customWidth="1"/>
    <col min="2" max="2" width="24" style="7" bestFit="1" customWidth="1"/>
    <col min="3" max="3" width="22" style="7" customWidth="1"/>
    <col min="4" max="4" width="11.140625" style="7" customWidth="1"/>
    <col min="5" max="5" width="9.140625" style="7"/>
    <col min="6" max="6" width="11.85546875" style="7" customWidth="1"/>
    <col min="7" max="7" width="18.85546875" style="7" bestFit="1" customWidth="1"/>
    <col min="8" max="8" width="14.5703125" style="7" customWidth="1"/>
    <col min="9" max="16384" width="9.140625" style="7"/>
  </cols>
  <sheetData>
    <row r="1" spans="1:10" ht="37.5" customHeight="1">
      <c r="A1" s="28" t="s">
        <v>43</v>
      </c>
      <c r="B1" s="29" t="s">
        <v>44</v>
      </c>
      <c r="C1" s="29" t="s">
        <v>7</v>
      </c>
      <c r="D1" s="29" t="s">
        <v>45</v>
      </c>
      <c r="E1" s="29" t="s">
        <v>12</v>
      </c>
      <c r="F1" s="29" t="s">
        <v>46</v>
      </c>
      <c r="G1" s="29" t="s">
        <v>47</v>
      </c>
      <c r="H1" s="29" t="s">
        <v>85</v>
      </c>
      <c r="I1" s="20" t="s">
        <v>83</v>
      </c>
      <c r="J1" s="20" t="s">
        <v>82</v>
      </c>
    </row>
    <row r="2" spans="1:10" ht="33" customHeight="1">
      <c r="A2" s="10" t="s">
        <v>48</v>
      </c>
      <c r="B2" s="12" t="s">
        <v>49</v>
      </c>
      <c r="C2" s="11" t="s">
        <v>50</v>
      </c>
      <c r="D2" s="11">
        <v>4</v>
      </c>
      <c r="E2" s="11" t="s">
        <v>51</v>
      </c>
      <c r="F2" s="21">
        <v>60</v>
      </c>
      <c r="G2" s="21">
        <f>D2*F2</f>
        <v>240</v>
      </c>
      <c r="H2" s="22">
        <f>G2*$J$2</f>
        <v>12420.936</v>
      </c>
      <c r="I2" s="20">
        <v>43.922199999999997</v>
      </c>
      <c r="J2" s="20">
        <v>51.753900000000002</v>
      </c>
    </row>
    <row r="3" spans="1:10" ht="33" customHeight="1">
      <c r="A3" s="10" t="s">
        <v>52</v>
      </c>
      <c r="B3" s="12" t="s">
        <v>53</v>
      </c>
      <c r="C3" s="11" t="s">
        <v>54</v>
      </c>
      <c r="D3" s="11">
        <v>7</v>
      </c>
      <c r="E3" s="11" t="s">
        <v>55</v>
      </c>
      <c r="F3" s="21">
        <v>11</v>
      </c>
      <c r="G3" s="23">
        <f>D3*F3</f>
        <v>77</v>
      </c>
      <c r="H3" s="22">
        <f>G3</f>
        <v>77</v>
      </c>
      <c r="I3" s="20"/>
      <c r="J3" s="20"/>
    </row>
    <row r="4" spans="1:10" ht="33" customHeight="1">
      <c r="A4" s="10" t="s">
        <v>56</v>
      </c>
      <c r="B4" s="12" t="s">
        <v>57</v>
      </c>
      <c r="C4" s="11" t="s">
        <v>58</v>
      </c>
      <c r="D4" s="13">
        <v>13</v>
      </c>
      <c r="E4" s="11" t="s">
        <v>51</v>
      </c>
      <c r="F4" s="21">
        <v>6.4</v>
      </c>
      <c r="G4" s="21">
        <f>F4*D4</f>
        <v>83.2</v>
      </c>
      <c r="H4" s="22">
        <f t="shared" ref="H4" si="0">G4*$J$2</f>
        <v>4305.9244800000006</v>
      </c>
      <c r="I4" s="20" t="s">
        <v>86</v>
      </c>
      <c r="J4" s="20"/>
    </row>
    <row r="5" spans="1:10" ht="33" customHeight="1">
      <c r="A5" s="10" t="s">
        <v>59</v>
      </c>
      <c r="B5" s="12" t="s">
        <v>60</v>
      </c>
      <c r="C5" s="11" t="s">
        <v>61</v>
      </c>
      <c r="D5" s="13">
        <v>12</v>
      </c>
      <c r="E5" s="11" t="s">
        <v>51</v>
      </c>
      <c r="F5" s="24">
        <v>1500</v>
      </c>
      <c r="G5" s="23">
        <f t="shared" ref="G5:G9" si="1">D5*F5</f>
        <v>18000</v>
      </c>
      <c r="H5" s="22">
        <f>G5</f>
        <v>18000</v>
      </c>
      <c r="I5" s="20" t="s">
        <v>86</v>
      </c>
      <c r="J5" s="20"/>
    </row>
    <row r="6" spans="1:10" ht="33" customHeight="1">
      <c r="A6" s="10" t="s">
        <v>62</v>
      </c>
      <c r="B6" s="12" t="s">
        <v>63</v>
      </c>
      <c r="C6" s="11"/>
      <c r="D6" s="11">
        <v>15</v>
      </c>
      <c r="E6" s="11" t="s">
        <v>51</v>
      </c>
      <c r="F6" s="25">
        <v>220</v>
      </c>
      <c r="G6" s="23">
        <f t="shared" si="1"/>
        <v>3300</v>
      </c>
      <c r="H6" s="22">
        <f>G6</f>
        <v>3300</v>
      </c>
      <c r="I6" s="20"/>
      <c r="J6" s="20"/>
    </row>
    <row r="7" spans="1:10" ht="33" customHeight="1">
      <c r="A7" s="10" t="s">
        <v>64</v>
      </c>
      <c r="B7" s="12" t="s">
        <v>65</v>
      </c>
      <c r="C7" s="11"/>
      <c r="D7" s="11">
        <v>5</v>
      </c>
      <c r="E7" s="11" t="s">
        <v>51</v>
      </c>
      <c r="F7" s="21">
        <v>2.5</v>
      </c>
      <c r="G7" s="21">
        <f>D7*F7</f>
        <v>12.5</v>
      </c>
      <c r="H7" s="22">
        <f>G7*$J$2</f>
        <v>646.92375000000004</v>
      </c>
      <c r="I7" s="20"/>
      <c r="J7" s="20"/>
    </row>
    <row r="8" spans="1:10" ht="33" customHeight="1">
      <c r="A8" s="10" t="s">
        <v>66</v>
      </c>
      <c r="B8" s="12" t="s">
        <v>67</v>
      </c>
      <c r="C8" s="11"/>
      <c r="D8" s="11">
        <v>150</v>
      </c>
      <c r="E8" s="11" t="s">
        <v>51</v>
      </c>
      <c r="F8" s="24">
        <v>0.3</v>
      </c>
      <c r="G8" s="23">
        <f t="shared" si="1"/>
        <v>45</v>
      </c>
      <c r="H8" s="22">
        <f>G8</f>
        <v>45</v>
      </c>
      <c r="I8" s="20"/>
      <c r="J8" s="20"/>
    </row>
    <row r="9" spans="1:10" ht="33" customHeight="1" thickBot="1">
      <c r="A9" s="10" t="s">
        <v>68</v>
      </c>
      <c r="B9" s="12" t="s">
        <v>69</v>
      </c>
      <c r="C9" s="11"/>
      <c r="D9" s="11">
        <v>150</v>
      </c>
      <c r="E9" s="11" t="s">
        <v>51</v>
      </c>
      <c r="F9" s="24">
        <v>4</v>
      </c>
      <c r="G9" s="23">
        <f t="shared" si="1"/>
        <v>600</v>
      </c>
      <c r="H9" s="26">
        <f>G9</f>
        <v>600</v>
      </c>
      <c r="I9" s="20"/>
      <c r="J9" s="20"/>
    </row>
    <row r="10" spans="1:10" ht="32.25" customHeight="1" thickBot="1">
      <c r="A10" s="20"/>
      <c r="B10" s="20"/>
      <c r="C10" s="20"/>
      <c r="D10" s="20"/>
      <c r="E10" s="20"/>
      <c r="F10" s="20"/>
      <c r="G10" s="20"/>
      <c r="H10" s="27">
        <f>SUM(H2:H9)</f>
        <v>39395.784230000005</v>
      </c>
      <c r="I10" s="20"/>
      <c r="J10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DC25D-B1E4-4075-96DE-F982228B8F0C}">
  <dimension ref="A1:K6"/>
  <sheetViews>
    <sheetView workbookViewId="0">
      <selection activeCell="F15" sqref="F15"/>
    </sheetView>
  </sheetViews>
  <sheetFormatPr defaultColWidth="9.140625" defaultRowHeight="15"/>
  <cols>
    <col min="1" max="1" width="12.28515625" style="9" bestFit="1" customWidth="1"/>
    <col min="2" max="2" width="51.140625" style="7" bestFit="1" customWidth="1"/>
    <col min="3" max="3" width="38.7109375" style="7" bestFit="1" customWidth="1"/>
    <col min="4" max="4" width="7.7109375" style="7" bestFit="1" customWidth="1"/>
    <col min="5" max="5" width="8" style="7" bestFit="1" customWidth="1"/>
    <col min="6" max="6" width="83.5703125" style="7" customWidth="1"/>
    <col min="7" max="7" width="12.5703125" style="7" customWidth="1"/>
    <col min="8" max="8" width="16.85546875" style="7" customWidth="1"/>
    <col min="9" max="9" width="18.28515625" style="7" customWidth="1"/>
    <col min="10" max="16384" width="9.140625" style="7"/>
  </cols>
  <sheetData>
    <row r="1" spans="1:11" ht="53.25" customHeight="1">
      <c r="A1" s="28" t="s">
        <v>43</v>
      </c>
      <c r="B1" s="29" t="s">
        <v>44</v>
      </c>
      <c r="C1" s="29" t="s">
        <v>7</v>
      </c>
      <c r="D1" s="29" t="s">
        <v>45</v>
      </c>
      <c r="E1" s="29" t="s">
        <v>12</v>
      </c>
      <c r="F1" s="30"/>
      <c r="G1" s="29" t="s">
        <v>46</v>
      </c>
      <c r="H1" s="29" t="s">
        <v>70</v>
      </c>
      <c r="I1" s="29" t="s">
        <v>84</v>
      </c>
      <c r="J1" s="20" t="s">
        <v>83</v>
      </c>
      <c r="K1" s="20" t="s">
        <v>82</v>
      </c>
    </row>
    <row r="2" spans="1:11" ht="16.5">
      <c r="A2" s="10" t="s">
        <v>48</v>
      </c>
      <c r="B2" s="12" t="s">
        <v>71</v>
      </c>
      <c r="C2" s="11" t="s">
        <v>72</v>
      </c>
      <c r="D2" s="11">
        <v>20</v>
      </c>
      <c r="E2" s="11" t="s">
        <v>51</v>
      </c>
      <c r="F2" s="25" t="s">
        <v>73</v>
      </c>
      <c r="G2" s="31">
        <v>42</v>
      </c>
      <c r="H2" s="31">
        <f>G2*D2</f>
        <v>840</v>
      </c>
      <c r="I2" s="22">
        <f>H2*J2</f>
        <v>36894.647999999994</v>
      </c>
      <c r="J2" s="20">
        <v>43.922199999999997</v>
      </c>
      <c r="K2" s="20">
        <v>51.753900000000002</v>
      </c>
    </row>
    <row r="3" spans="1:11" ht="16.5">
      <c r="A3" s="10" t="s">
        <v>52</v>
      </c>
      <c r="B3" s="12" t="s">
        <v>74</v>
      </c>
      <c r="C3" s="11" t="s">
        <v>75</v>
      </c>
      <c r="D3" s="11">
        <v>120</v>
      </c>
      <c r="E3" s="11" t="s">
        <v>51</v>
      </c>
      <c r="F3" s="25" t="s">
        <v>76</v>
      </c>
      <c r="G3" s="23">
        <v>20</v>
      </c>
      <c r="H3" s="23">
        <f>D3*G3</f>
        <v>2400</v>
      </c>
      <c r="I3" s="23">
        <f>H3</f>
        <v>2400</v>
      </c>
      <c r="J3" s="20"/>
      <c r="K3" s="20"/>
    </row>
    <row r="4" spans="1:11" ht="33">
      <c r="A4" s="10" t="s">
        <v>56</v>
      </c>
      <c r="B4" s="12" t="s">
        <v>77</v>
      </c>
      <c r="C4" s="11" t="s">
        <v>78</v>
      </c>
      <c r="D4" s="11">
        <v>15</v>
      </c>
      <c r="E4" s="11" t="s">
        <v>51</v>
      </c>
      <c r="F4" s="12" t="s">
        <v>79</v>
      </c>
      <c r="G4" s="23">
        <v>35</v>
      </c>
      <c r="H4" s="23">
        <f>D4*G4</f>
        <v>525</v>
      </c>
      <c r="I4" s="23">
        <f t="shared" ref="I4:I5" si="0">H4</f>
        <v>525</v>
      </c>
      <c r="J4" s="20"/>
      <c r="K4" s="20"/>
    </row>
    <row r="5" spans="1:11" ht="17.25" thickBot="1">
      <c r="A5" s="10" t="s">
        <v>59</v>
      </c>
      <c r="B5" s="12" t="s">
        <v>80</v>
      </c>
      <c r="C5" s="11" t="s">
        <v>81</v>
      </c>
      <c r="D5" s="11">
        <v>4</v>
      </c>
      <c r="E5" s="11" t="s">
        <v>51</v>
      </c>
      <c r="F5" s="25"/>
      <c r="G5" s="23">
        <v>2290</v>
      </c>
      <c r="H5" s="23">
        <f>D5*G5</f>
        <v>9160</v>
      </c>
      <c r="I5" s="32">
        <f t="shared" si="0"/>
        <v>9160</v>
      </c>
      <c r="J5" s="20"/>
      <c r="K5" s="20"/>
    </row>
    <row r="6" spans="1:11" ht="17.25" thickBot="1">
      <c r="A6" s="5"/>
      <c r="B6" s="8"/>
      <c r="C6" s="6"/>
      <c r="D6" s="6"/>
      <c r="E6" s="6"/>
      <c r="F6" s="20"/>
      <c r="G6" s="20"/>
      <c r="H6" s="20"/>
      <c r="I6" s="33">
        <f>SUM(I2:I5)</f>
        <v>48979.647999999994</v>
      </c>
      <c r="J6" s="20"/>
      <c r="K6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D6132-423D-408D-998B-6DC2ED023F10}">
  <dimension ref="B2:G22"/>
  <sheetViews>
    <sheetView workbookViewId="0">
      <selection activeCell="P25" sqref="P25"/>
    </sheetView>
  </sheetViews>
  <sheetFormatPr defaultColWidth="9.140625" defaultRowHeight="15" customHeight="1"/>
  <cols>
    <col min="1" max="1" width="9.140625" style="65"/>
    <col min="2" max="2" width="15.7109375" style="65" customWidth="1"/>
    <col min="3" max="3" width="32.7109375" style="65" customWidth="1"/>
    <col min="4" max="7" width="15.7109375" style="65" customWidth="1"/>
    <col min="8" max="16384" width="9.140625" style="65"/>
  </cols>
  <sheetData>
    <row r="2" spans="2:7" ht="15" customHeight="1">
      <c r="B2" s="63" t="s">
        <v>98</v>
      </c>
      <c r="C2" s="64" t="s">
        <v>44</v>
      </c>
      <c r="D2" s="64" t="s">
        <v>7</v>
      </c>
      <c r="E2" s="64" t="s">
        <v>45</v>
      </c>
      <c r="F2" s="64" t="s">
        <v>99</v>
      </c>
      <c r="G2" s="64" t="s">
        <v>3</v>
      </c>
    </row>
    <row r="3" spans="2:7" ht="15" customHeight="1">
      <c r="B3" s="66" t="s">
        <v>48</v>
      </c>
      <c r="C3" s="67" t="s">
        <v>100</v>
      </c>
      <c r="D3" s="68" t="s">
        <v>101</v>
      </c>
      <c r="E3" s="68">
        <v>1</v>
      </c>
      <c r="F3" s="69">
        <v>55</v>
      </c>
      <c r="G3" s="69">
        <f>E3*F3</f>
        <v>55</v>
      </c>
    </row>
    <row r="4" spans="2:7" ht="15" customHeight="1">
      <c r="B4" s="66"/>
      <c r="C4" s="67" t="s">
        <v>102</v>
      </c>
      <c r="D4" s="68"/>
      <c r="E4" s="68">
        <v>1</v>
      </c>
      <c r="F4" s="69">
        <v>14</v>
      </c>
      <c r="G4" s="69">
        <f t="shared" ref="G4:G19" si="0">E4*F4</f>
        <v>14</v>
      </c>
    </row>
    <row r="5" spans="2:7" ht="15" customHeight="1">
      <c r="B5" s="66" t="s">
        <v>52</v>
      </c>
      <c r="C5" s="67" t="s">
        <v>103</v>
      </c>
      <c r="D5" s="68" t="s">
        <v>104</v>
      </c>
      <c r="E5" s="68">
        <v>5</v>
      </c>
      <c r="F5" s="69">
        <v>160</v>
      </c>
      <c r="G5" s="69">
        <f t="shared" si="0"/>
        <v>800</v>
      </c>
    </row>
    <row r="6" spans="2:7" ht="15" customHeight="1">
      <c r="B6" s="66" t="s">
        <v>56</v>
      </c>
      <c r="C6" s="67" t="s">
        <v>105</v>
      </c>
      <c r="D6" s="68" t="s">
        <v>104</v>
      </c>
      <c r="E6" s="68">
        <v>5</v>
      </c>
      <c r="F6" s="69">
        <v>160</v>
      </c>
      <c r="G6" s="69">
        <f t="shared" si="0"/>
        <v>800</v>
      </c>
    </row>
    <row r="7" spans="2:7" ht="15" customHeight="1">
      <c r="B7" s="66" t="s">
        <v>59</v>
      </c>
      <c r="C7" s="67" t="s">
        <v>106</v>
      </c>
      <c r="D7" s="68" t="s">
        <v>107</v>
      </c>
      <c r="E7" s="68">
        <v>9</v>
      </c>
      <c r="F7" s="69">
        <v>40</v>
      </c>
      <c r="G7" s="69">
        <f t="shared" si="0"/>
        <v>360</v>
      </c>
    </row>
    <row r="8" spans="2:7" ht="15" customHeight="1">
      <c r="B8" s="66" t="s">
        <v>62</v>
      </c>
      <c r="C8" s="67" t="s">
        <v>108</v>
      </c>
      <c r="D8" s="68">
        <v>4</v>
      </c>
      <c r="E8" s="68">
        <v>4</v>
      </c>
      <c r="F8" s="69">
        <v>13.5</v>
      </c>
      <c r="G8" s="69">
        <f t="shared" si="0"/>
        <v>54</v>
      </c>
    </row>
    <row r="9" spans="2:7" ht="15" customHeight="1">
      <c r="B9" s="66" t="s">
        <v>64</v>
      </c>
      <c r="C9" s="67" t="s">
        <v>109</v>
      </c>
      <c r="D9" s="68">
        <v>2</v>
      </c>
      <c r="E9" s="68">
        <v>2</v>
      </c>
      <c r="F9" s="69">
        <v>13.5</v>
      </c>
      <c r="G9" s="69">
        <f t="shared" si="0"/>
        <v>27</v>
      </c>
    </row>
    <row r="10" spans="2:7" ht="15" customHeight="1">
      <c r="B10" s="66" t="s">
        <v>66</v>
      </c>
      <c r="C10" s="67" t="s">
        <v>110</v>
      </c>
      <c r="D10" s="68" t="s">
        <v>111</v>
      </c>
      <c r="E10" s="68">
        <v>20</v>
      </c>
      <c r="F10" s="69">
        <v>9</v>
      </c>
      <c r="G10" s="69">
        <f t="shared" si="0"/>
        <v>180</v>
      </c>
    </row>
    <row r="11" spans="2:7" ht="15" customHeight="1">
      <c r="B11" s="66" t="s">
        <v>68</v>
      </c>
      <c r="C11" s="67" t="s">
        <v>112</v>
      </c>
      <c r="D11" s="68" t="s">
        <v>113</v>
      </c>
      <c r="E11" s="68">
        <v>8</v>
      </c>
      <c r="F11" s="69">
        <v>0.55000000000000004</v>
      </c>
      <c r="G11" s="69">
        <f t="shared" si="0"/>
        <v>4.4000000000000004</v>
      </c>
    </row>
    <row r="12" spans="2:7" ht="15" customHeight="1">
      <c r="B12" s="66" t="s">
        <v>114</v>
      </c>
      <c r="C12" s="67" t="s">
        <v>115</v>
      </c>
      <c r="D12" s="68" t="s">
        <v>116</v>
      </c>
      <c r="E12" s="68">
        <v>1</v>
      </c>
      <c r="F12" s="69">
        <v>105</v>
      </c>
      <c r="G12" s="69">
        <f t="shared" si="0"/>
        <v>105</v>
      </c>
    </row>
    <row r="13" spans="2:7" ht="15" customHeight="1">
      <c r="B13" s="66" t="s">
        <v>117</v>
      </c>
      <c r="C13" s="67" t="s">
        <v>118</v>
      </c>
      <c r="D13" s="68">
        <v>1</v>
      </c>
      <c r="E13" s="68">
        <v>1</v>
      </c>
      <c r="F13" s="69">
        <v>50</v>
      </c>
      <c r="G13" s="69">
        <f t="shared" si="0"/>
        <v>50</v>
      </c>
    </row>
    <row r="14" spans="2:7" ht="15" customHeight="1">
      <c r="B14" s="66" t="s">
        <v>119</v>
      </c>
      <c r="C14" s="67" t="s">
        <v>120</v>
      </c>
      <c r="D14" s="68" t="s">
        <v>121</v>
      </c>
      <c r="E14" s="68">
        <v>30</v>
      </c>
      <c r="F14" s="69">
        <v>0.6</v>
      </c>
      <c r="G14" s="69">
        <f t="shared" si="0"/>
        <v>18</v>
      </c>
    </row>
    <row r="15" spans="2:7" ht="15" customHeight="1">
      <c r="B15" s="66" t="s">
        <v>122</v>
      </c>
      <c r="C15" s="67" t="s">
        <v>123</v>
      </c>
      <c r="D15" s="68" t="s">
        <v>121</v>
      </c>
      <c r="E15" s="68">
        <v>30</v>
      </c>
      <c r="F15" s="69">
        <v>0.7</v>
      </c>
      <c r="G15" s="69">
        <f t="shared" si="0"/>
        <v>21</v>
      </c>
    </row>
    <row r="16" spans="2:7" ht="15" customHeight="1">
      <c r="B16" s="66" t="s">
        <v>124</v>
      </c>
      <c r="C16" s="67" t="s">
        <v>125</v>
      </c>
      <c r="D16" s="68" t="s">
        <v>121</v>
      </c>
      <c r="E16" s="68">
        <v>30</v>
      </c>
      <c r="F16" s="69">
        <v>0.5</v>
      </c>
      <c r="G16" s="69">
        <f t="shared" si="0"/>
        <v>15</v>
      </c>
    </row>
    <row r="17" spans="2:7" ht="15" customHeight="1">
      <c r="B17" s="66" t="s">
        <v>126</v>
      </c>
      <c r="C17" s="67" t="s">
        <v>127</v>
      </c>
      <c r="D17" s="68" t="s">
        <v>128</v>
      </c>
      <c r="E17" s="68">
        <v>5</v>
      </c>
      <c r="F17" s="69">
        <v>90</v>
      </c>
      <c r="G17" s="69">
        <f t="shared" si="0"/>
        <v>450</v>
      </c>
    </row>
    <row r="18" spans="2:7" ht="15" customHeight="1">
      <c r="B18" s="66" t="s">
        <v>129</v>
      </c>
      <c r="C18" s="67" t="s">
        <v>130</v>
      </c>
      <c r="D18" s="68" t="s">
        <v>131</v>
      </c>
      <c r="E18" s="68">
        <v>9</v>
      </c>
      <c r="F18" s="69">
        <v>35</v>
      </c>
      <c r="G18" s="69">
        <f t="shared" si="0"/>
        <v>315</v>
      </c>
    </row>
    <row r="19" spans="2:7" ht="15" customHeight="1">
      <c r="B19" s="66" t="s">
        <v>132</v>
      </c>
      <c r="C19" s="67" t="s">
        <v>133</v>
      </c>
      <c r="D19" s="68" t="s">
        <v>134</v>
      </c>
      <c r="E19" s="68">
        <v>4</v>
      </c>
      <c r="F19" s="69">
        <v>0.72</v>
      </c>
      <c r="G19" s="69">
        <f t="shared" si="0"/>
        <v>2.88</v>
      </c>
    </row>
    <row r="20" spans="2:7" ht="15" customHeight="1">
      <c r="B20" s="66"/>
      <c r="C20" s="67"/>
      <c r="D20" s="68"/>
      <c r="E20" s="68"/>
      <c r="F20" s="69"/>
      <c r="G20" s="69"/>
    </row>
    <row r="21" spans="2:7" ht="15" customHeight="1">
      <c r="G21" s="70">
        <f>SUM(G3:G20)</f>
        <v>3271.28</v>
      </c>
    </row>
    <row r="22" spans="2:7" ht="15" customHeight="1">
      <c r="F22" s="71">
        <v>0.15</v>
      </c>
      <c r="G22" s="72">
        <f>G21*1.15</f>
        <v>3761.9719999999998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Maliyetlendirme </vt:lpstr>
      <vt:lpstr>İç Döşeme Maliyet Kırılımı</vt:lpstr>
      <vt:lpstr>Dolap Maliyet Kırılımı</vt:lpstr>
      <vt:lpstr>Invertör Montaj Maliyet Kırılım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 ŞAHİN</dc:creator>
  <cp:lastModifiedBy>Osman Ertuğral</cp:lastModifiedBy>
  <cp:lastPrinted>2025-12-17T06:39:20Z</cp:lastPrinted>
  <dcterms:created xsi:type="dcterms:W3CDTF">2015-06-05T18:19:34Z</dcterms:created>
  <dcterms:modified xsi:type="dcterms:W3CDTF">2026-02-26T12:11:40Z</dcterms:modified>
</cp:coreProperties>
</file>