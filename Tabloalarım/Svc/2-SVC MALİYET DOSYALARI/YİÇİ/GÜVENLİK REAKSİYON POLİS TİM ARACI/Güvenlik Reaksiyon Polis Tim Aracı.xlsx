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ÜVENLİK REAKSİYON POLİS TİM ARACI\"/>
    </mc:Choice>
  </mc:AlternateContent>
  <xr:revisionPtr revIDLastSave="0" documentId="8_{8146C26B-EBDE-48CA-80E1-A9119BC72B69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Güvenlik Reaksiyon Polis Tim Ar" sheetId="6" r:id="rId1"/>
  </sheets>
  <definedNames>
    <definedName name="_xlnm.Print_Area" localSheetId="0">'Güvenlik Reaksiyon Polis Tim Ar'!$A$1:$L$55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6" l="1"/>
  <c r="L28" i="6"/>
  <c r="L34" i="6"/>
  <c r="L18" i="6"/>
  <c r="L21" i="6"/>
  <c r="L22" i="6"/>
  <c r="L23" i="6"/>
  <c r="L24" i="6"/>
  <c r="L25" i="6"/>
  <c r="L26" i="6"/>
  <c r="L27" i="6"/>
  <c r="L29" i="6"/>
  <c r="L30" i="6"/>
  <c r="L31" i="6"/>
  <c r="L32" i="6"/>
  <c r="L33" i="6"/>
  <c r="L36" i="6" l="1"/>
  <c r="L37" i="6" s="1"/>
</calcChain>
</file>

<file path=xl/sharedStrings.xml><?xml version="1.0" encoding="utf-8"?>
<sst xmlns="http://schemas.openxmlformats.org/spreadsheetml/2006/main" count="90" uniqueCount="72">
  <si>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</si>
  <si>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</si>
  <si>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</si>
  <si>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</si>
  <si>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</si>
  <si>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</si>
  <si>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</si>
  <si>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</si>
  <si>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</si>
  <si>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</si>
  <si>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</si>
  <si>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</si>
  <si>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</si>
  <si>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</si>
  <si>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</si>
  <si>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</si>
  <si>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</si>
  <si>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</si>
  <si>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</si>
  <si>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</si>
  <si>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</si>
  <si>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</si>
  <si>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</si>
  <si>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</si>
  <si>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</si>
  <si>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</si>
  <si>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</si>
  <si>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</si>
  <si>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</si>
  <si>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</si>
  <si>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</si>
  <si>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</si>
  <si>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ARAÇ</t>
  </si>
  <si>
    <t>Ürün 
Departmanı Notu</t>
  </si>
  <si>
    <t>ARMAS</t>
  </si>
  <si>
    <t>SİREN ANONS SİSTEMİ</t>
  </si>
  <si>
    <t>Araçta siren anons sistemi
3.2.4.7</t>
  </si>
  <si>
    <t>TELSİZ HAZIRLIĞI</t>
  </si>
  <si>
    <t>12 v tesisatı çekilmiş. Ve kablo uçları izole edilmiş
3.2.10.18</t>
  </si>
  <si>
    <t>En: 25 cm
Uzunluk: 100 cm
12 v, Renk
3.2.10.19</t>
  </si>
  <si>
    <t xml:space="preserve">ÇEKİÇ </t>
  </si>
  <si>
    <t>Ağaç saplı 1 KG</t>
  </si>
  <si>
    <t>TAKOZ</t>
  </si>
  <si>
    <t>Metal veya plastik</t>
  </si>
  <si>
    <t>ZİNCİR</t>
  </si>
  <si>
    <t>ÇEKİ HALATI</t>
  </si>
  <si>
    <t>LEVYE</t>
  </si>
  <si>
    <t>TABAN PASPASI</t>
  </si>
  <si>
    <t>KATLANABİLİR REFLEKTÖR</t>
  </si>
  <si>
    <t>KURBAĞACIK</t>
  </si>
  <si>
    <t>Ağız açıklığı 20mm en az</t>
  </si>
  <si>
    <t>DÜZ TORNAVİDA</t>
  </si>
  <si>
    <t>YILDIZ TORNAVİDA</t>
  </si>
  <si>
    <t>5 Parça</t>
  </si>
  <si>
    <t>AVADANLIK ÇANTASI</t>
  </si>
  <si>
    <t>Kurbağacık anahtarı, levye, tornavida setleri konulması için</t>
  </si>
  <si>
    <t>İLK YARDIM ÇANTASI</t>
  </si>
  <si>
    <t>Trafik Tüzüğüne uygun</t>
  </si>
  <si>
    <t>YANGIN SÖNDÜRME CİHAZI</t>
  </si>
  <si>
    <t>GÜVENLİK REAKSİYON POLİS TİM ARACI</t>
  </si>
  <si>
    <t>COURİER / CADDY</t>
  </si>
  <si>
    <t>MİLLİ SAVUNMA BAKANLIĞI / OTOKOÇ / DOĞUŞ</t>
  </si>
  <si>
    <t xml:space="preserve">BEYAZ VEYA RAL 9016 </t>
  </si>
  <si>
    <t>Mavi renkli</t>
  </si>
  <si>
    <t>4 teker için</t>
  </si>
  <si>
    <t>YAKIT</t>
  </si>
  <si>
    <t>Yarım Depo</t>
  </si>
  <si>
    <t>2 KG, Basınç Göstergeli</t>
  </si>
  <si>
    <t>TEPE LAMBASı</t>
  </si>
  <si>
    <t>litre</t>
  </si>
  <si>
    <t>adet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</si>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</sst>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_-[$$-409]* #,##0.00_ ;_-[$$-409]* \-#,##0.00\ ;_-[$$-409]* &quot;-&quot;??_ ;_-@_ "/>
  </numFmts>
  <fonts count="1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8"/>
      <name val="Aptos Narrow"/>
      <family val="2"/>
      <charset val="162"/>
      <scheme val="minor"/>
    </font>
    <font>
      <b/>
      <sz val="20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44" fontId="7" fillId="3" borderId="1" xfId="2" applyFont="1" applyFill="1" applyBorder="1" applyAlignment="1">
      <alignment horizontal="center" vertical="center"/>
    </xf>
    <xf numFmtId="166" fontId="7" fillId="3" borderId="32" xfId="2" applyNumberFormat="1" applyFont="1" applyFill="1" applyBorder="1" applyAlignment="1">
      <alignment horizontal="center" vertical="center"/>
    </xf>
    <xf numFmtId="166" fontId="7" fillId="3" borderId="33" xfId="2" applyNumberFormat="1" applyFont="1" applyFill="1" applyBorder="1" applyAlignment="1">
      <alignment horizontal="center" vertical="center"/>
    </xf>
    <xf numFmtId="166" fontId="7" fillId="3" borderId="34" xfId="2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165" fontId="7" fillId="3" borderId="32" xfId="2" applyNumberFormat="1" applyFont="1" applyFill="1" applyBorder="1" applyAlignment="1">
      <alignment horizontal="center" vertical="center"/>
    </xf>
    <xf numFmtId="165" fontId="7" fillId="3" borderId="33" xfId="2" applyNumberFormat="1" applyFont="1" applyFill="1" applyBorder="1" applyAlignment="1">
      <alignment horizontal="center" vertical="center"/>
    </xf>
    <xf numFmtId="165" fontId="7" fillId="3" borderId="34" xfId="2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165" fontId="13" fillId="0" borderId="0" xfId="0" applyNumberFormat="1" applyFont="1"/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55"/>
  <sheetViews>
    <sheetView tabSelected="1" topLeftCell="E19" zoomScale="70" zoomScaleNormal="70" workbookViewId="0">
      <selection activeCell="P24" sqref="P24"/>
    </sheetView>
  </sheetViews>
  <sheetFormatPr defaultColWidth="9.109375" defaultRowHeight="13.8" x14ac:dyDescent="0.25"/>
  <cols>
    <col min="1" max="1" width="28.6640625" style="1" customWidth="1"/>
    <col min="2" max="2" width="33.6640625" style="1" customWidth="1"/>
    <col min="3" max="3" width="34" style="1" customWidth="1"/>
    <col min="4" max="4" width="35.88671875" style="1" customWidth="1"/>
    <col min="5" max="5" width="37.44140625" style="1" customWidth="1"/>
    <col min="6" max="6" width="21.5546875" style="1" customWidth="1"/>
    <col min="7" max="7" width="17.3320312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5.109375" style="1" customWidth="1"/>
    <col min="13" max="13" width="9.109375" style="1"/>
    <col min="14" max="14" width="25.6640625" style="1" customWidth="1"/>
    <col min="15" max="16384" width="9.109375" style="1"/>
  </cols>
  <sheetData>
    <row r="1" spans="1:14" ht="12" customHeight="1" thickBot="1" x14ac:dyDescent="0.3"/>
    <row r="2" spans="1:14" ht="42.6" customHeight="1" x14ac:dyDescent="0.25">
      <c r="A2" s="17"/>
      <c r="B2" s="26" t="s">
        <v>24</v>
      </c>
      <c r="C2" s="78"/>
      <c r="D2" s="79"/>
      <c r="E2" s="79"/>
      <c r="F2" s="79"/>
      <c r="G2" s="79"/>
      <c r="H2" s="79"/>
      <c r="I2" s="79"/>
      <c r="J2" s="79"/>
      <c r="K2" s="80"/>
    </row>
    <row r="3" spans="1:14" ht="41.4" customHeight="1" x14ac:dyDescent="0.25">
      <c r="A3" s="18"/>
      <c r="B3" s="27" t="s">
        <v>26</v>
      </c>
      <c r="C3" s="81"/>
      <c r="D3" s="82"/>
      <c r="E3" s="82"/>
      <c r="F3" s="82"/>
      <c r="G3" s="82"/>
      <c r="H3" s="82"/>
      <c r="I3" s="82"/>
      <c r="J3" s="82"/>
      <c r="K3" s="83"/>
    </row>
    <row r="4" spans="1:14" ht="41.4" customHeight="1" thickBot="1" x14ac:dyDescent="0.3">
      <c r="A4" s="19"/>
      <c r="B4" s="28" t="s">
        <v>25</v>
      </c>
      <c r="C4" s="84"/>
      <c r="D4" s="85"/>
      <c r="E4" s="85"/>
      <c r="F4" s="85"/>
      <c r="G4" s="85"/>
      <c r="H4" s="85"/>
      <c r="I4" s="85"/>
      <c r="J4" s="85"/>
      <c r="K4" s="86"/>
    </row>
    <row r="5" spans="1:14" ht="33" customHeight="1" thickBot="1" x14ac:dyDescent="0.3">
      <c r="C5" s="5"/>
      <c r="K5" s="1"/>
    </row>
    <row r="6" spans="1:14" ht="17.399999999999999" x14ac:dyDescent="0.3">
      <c r="A6" s="88" t="s">
        <v>28</v>
      </c>
      <c r="B6" s="89"/>
      <c r="C6" s="90">
        <v>46134</v>
      </c>
      <c r="D6" s="91"/>
      <c r="E6" s="91"/>
      <c r="F6" s="91"/>
      <c r="G6" s="91"/>
      <c r="H6" s="92"/>
      <c r="K6" s="1"/>
    </row>
    <row r="7" spans="1:14" ht="17.399999999999999" x14ac:dyDescent="0.3">
      <c r="A7" s="73" t="s">
        <v>29</v>
      </c>
      <c r="B7" s="74"/>
      <c r="C7" s="87">
        <v>46139</v>
      </c>
      <c r="D7" s="76"/>
      <c r="E7" s="76"/>
      <c r="F7" s="76"/>
      <c r="G7" s="76"/>
      <c r="H7" s="77"/>
      <c r="K7" s="1"/>
    </row>
    <row r="8" spans="1:14" ht="20.399999999999999" customHeight="1" x14ac:dyDescent="0.3">
      <c r="A8" s="73" t="s">
        <v>27</v>
      </c>
      <c r="B8" s="74"/>
      <c r="C8" s="75" t="s">
        <v>30</v>
      </c>
      <c r="D8" s="76"/>
      <c r="E8" s="76"/>
      <c r="F8" s="76"/>
      <c r="G8" s="76"/>
      <c r="H8" s="77"/>
      <c r="K8" s="1"/>
    </row>
    <row r="9" spans="1:14" s="4" customFormat="1" ht="18.899999999999999" customHeight="1" thickBot="1" x14ac:dyDescent="0.35">
      <c r="A9" s="69" t="s">
        <v>8</v>
      </c>
      <c r="B9" s="70"/>
      <c r="C9" s="65" t="s">
        <v>31</v>
      </c>
      <c r="D9" s="65"/>
      <c r="E9" s="65"/>
      <c r="F9" s="65"/>
      <c r="G9" s="65"/>
      <c r="H9" s="66"/>
      <c r="I9" s="1"/>
      <c r="J9" s="1"/>
    </row>
    <row r="10" spans="1:14" s="4" customFormat="1" ht="20.399999999999999" customHeight="1" x14ac:dyDescent="0.3">
      <c r="A10" s="69" t="s">
        <v>15</v>
      </c>
      <c r="B10" s="70"/>
      <c r="C10" s="65" t="s">
        <v>16</v>
      </c>
      <c r="D10" s="65"/>
      <c r="E10" s="65"/>
      <c r="F10" s="65"/>
      <c r="G10" s="65"/>
      <c r="H10" s="66"/>
      <c r="I10" s="1"/>
      <c r="J10" s="29" t="s">
        <v>13</v>
      </c>
      <c r="K10" s="30" t="s">
        <v>11</v>
      </c>
    </row>
    <row r="11" spans="1:14" s="4" customFormat="1" ht="21" customHeight="1" thickBot="1" x14ac:dyDescent="0.35">
      <c r="A11" s="69" t="s">
        <v>9</v>
      </c>
      <c r="B11" s="70"/>
      <c r="C11" s="65" t="s">
        <v>59</v>
      </c>
      <c r="D11" s="65"/>
      <c r="E11" s="65"/>
      <c r="F11" s="65"/>
      <c r="G11" s="65"/>
      <c r="H11" s="66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73" t="s">
        <v>32</v>
      </c>
      <c r="B12" s="74"/>
      <c r="C12" s="75" t="s">
        <v>60</v>
      </c>
      <c r="D12" s="76"/>
      <c r="E12" s="76"/>
      <c r="F12" s="76"/>
      <c r="G12" s="76"/>
      <c r="H12" s="77"/>
      <c r="I12" s="1"/>
      <c r="J12" s="32"/>
      <c r="K12" s="32"/>
      <c r="L12" s="1"/>
      <c r="M12" s="1"/>
    </row>
    <row r="13" spans="1:14" s="4" customFormat="1" ht="21" customHeight="1" x14ac:dyDescent="0.3">
      <c r="A13" s="69" t="s">
        <v>17</v>
      </c>
      <c r="B13" s="70"/>
      <c r="C13" s="65" t="s">
        <v>61</v>
      </c>
      <c r="D13" s="65"/>
      <c r="E13" s="65"/>
      <c r="F13" s="65"/>
      <c r="G13" s="65"/>
      <c r="H13" s="66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69" t="s">
        <v>10</v>
      </c>
      <c r="B14" s="70"/>
      <c r="C14" s="65" t="s">
        <v>62</v>
      </c>
      <c r="D14" s="65"/>
      <c r="E14" s="65"/>
      <c r="F14" s="65"/>
      <c r="G14" s="65"/>
      <c r="H14" s="66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67" t="s">
        <v>14</v>
      </c>
      <c r="B15" s="68"/>
      <c r="C15" s="71">
        <v>24</v>
      </c>
      <c r="D15" s="71"/>
      <c r="E15" s="71"/>
      <c r="F15" s="71"/>
      <c r="G15" s="71"/>
      <c r="H15" s="72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x14ac:dyDescent="0.3">
      <c r="A17" s="23" t="s">
        <v>0</v>
      </c>
      <c r="B17" s="24" t="s">
        <v>3</v>
      </c>
      <c r="C17" s="24" t="s">
        <v>22</v>
      </c>
      <c r="D17" s="24" t="s">
        <v>4</v>
      </c>
      <c r="E17" s="24" t="s">
        <v>7</v>
      </c>
      <c r="F17" s="35" t="s">
        <v>33</v>
      </c>
      <c r="G17" s="24" t="s">
        <v>5</v>
      </c>
      <c r="H17" s="24" t="s">
        <v>1</v>
      </c>
      <c r="I17" s="25" t="s">
        <v>21</v>
      </c>
      <c r="J17" s="24" t="s">
        <v>23</v>
      </c>
      <c r="K17" s="24" t="s">
        <v>2</v>
      </c>
      <c r="L17" s="24" t="s">
        <v>6</v>
      </c>
    </row>
    <row r="18" spans="1:12" ht="32.4" x14ac:dyDescent="0.25">
      <c r="A18" s="14" t="s">
        <v>35</v>
      </c>
      <c r="B18" s="33"/>
      <c r="C18" s="33" t="s">
        <v>36</v>
      </c>
      <c r="D18" s="14" t="s">
        <v>34</v>
      </c>
      <c r="E18" s="15"/>
      <c r="F18" s="15"/>
      <c r="G18" s="15">
        <v>1</v>
      </c>
      <c r="H18" s="15" t="s">
        <v>71</v>
      </c>
      <c r="I18" s="16"/>
      <c r="J18" s="40"/>
      <c r="K18" s="37">
        <v>810</v>
      </c>
      <c r="L18" s="43">
        <f>K18*J11</f>
        <v>35980.200000000004</v>
      </c>
    </row>
    <row r="19" spans="1:12" ht="48.6" x14ac:dyDescent="0.25">
      <c r="A19" s="14" t="s">
        <v>37</v>
      </c>
      <c r="B19" s="33"/>
      <c r="C19" s="33" t="s">
        <v>38</v>
      </c>
      <c r="D19" s="14" t="s">
        <v>34</v>
      </c>
      <c r="E19" s="15"/>
      <c r="F19" s="15"/>
      <c r="G19" s="15">
        <v>1</v>
      </c>
      <c r="H19" s="15" t="s">
        <v>71</v>
      </c>
      <c r="I19" s="16"/>
      <c r="J19" s="41"/>
      <c r="K19" s="38"/>
      <c r="L19" s="44"/>
    </row>
    <row r="20" spans="1:12" ht="64.8" x14ac:dyDescent="0.25">
      <c r="A20" s="14" t="s">
        <v>68</v>
      </c>
      <c r="B20" s="33" t="s">
        <v>63</v>
      </c>
      <c r="C20" s="33" t="s">
        <v>39</v>
      </c>
      <c r="D20" s="33" t="s">
        <v>34</v>
      </c>
      <c r="E20" s="15"/>
      <c r="F20" s="15"/>
      <c r="G20" s="15">
        <v>1</v>
      </c>
      <c r="H20" s="15" t="s">
        <v>70</v>
      </c>
      <c r="I20" s="16"/>
      <c r="J20" s="42"/>
      <c r="K20" s="39"/>
      <c r="L20" s="45"/>
    </row>
    <row r="21" spans="1:12" ht="16.2" x14ac:dyDescent="0.25">
      <c r="A21" s="14" t="s">
        <v>40</v>
      </c>
      <c r="B21" s="33"/>
      <c r="C21" s="33" t="s">
        <v>41</v>
      </c>
      <c r="D21" s="14"/>
      <c r="E21" s="15"/>
      <c r="F21" s="15"/>
      <c r="G21" s="15">
        <v>1</v>
      </c>
      <c r="H21" s="15" t="s">
        <v>70</v>
      </c>
      <c r="I21" s="16"/>
      <c r="J21" s="16"/>
      <c r="K21" s="36">
        <v>160</v>
      </c>
      <c r="L21" s="34">
        <f t="shared" ref="L21:L34" si="0">K21*G21</f>
        <v>160</v>
      </c>
    </row>
    <row r="22" spans="1:12" ht="16.2" x14ac:dyDescent="0.25">
      <c r="A22" s="14" t="s">
        <v>42</v>
      </c>
      <c r="B22" s="33"/>
      <c r="C22" s="33" t="s">
        <v>43</v>
      </c>
      <c r="D22" s="14"/>
      <c r="E22" s="15"/>
      <c r="F22" s="15"/>
      <c r="G22" s="15">
        <v>1</v>
      </c>
      <c r="H22" s="15" t="s">
        <v>70</v>
      </c>
      <c r="I22" s="16"/>
      <c r="J22" s="16"/>
      <c r="K22" s="34">
        <v>350</v>
      </c>
      <c r="L22" s="34">
        <f t="shared" si="0"/>
        <v>350</v>
      </c>
    </row>
    <row r="23" spans="1:12" ht="16.2" x14ac:dyDescent="0.25">
      <c r="A23" s="14" t="s">
        <v>44</v>
      </c>
      <c r="B23" s="33"/>
      <c r="C23" s="33" t="s">
        <v>64</v>
      </c>
      <c r="D23" s="14"/>
      <c r="E23" s="15"/>
      <c r="F23" s="15"/>
      <c r="G23" s="15">
        <v>4</v>
      </c>
      <c r="H23" s="15" t="s">
        <v>70</v>
      </c>
      <c r="I23" s="16"/>
      <c r="J23" s="16"/>
      <c r="K23" s="36">
        <v>1530</v>
      </c>
      <c r="L23" s="34">
        <f t="shared" si="0"/>
        <v>6120</v>
      </c>
    </row>
    <row r="24" spans="1:12" ht="16.2" x14ac:dyDescent="0.25">
      <c r="A24" s="14" t="s">
        <v>45</v>
      </c>
      <c r="B24" s="33"/>
      <c r="C24" s="33"/>
      <c r="D24" s="14"/>
      <c r="E24" s="15"/>
      <c r="F24" s="15"/>
      <c r="G24" s="15">
        <v>1</v>
      </c>
      <c r="H24" s="15" t="s">
        <v>70</v>
      </c>
      <c r="I24" s="16"/>
      <c r="J24" s="16"/>
      <c r="K24" s="36">
        <v>685</v>
      </c>
      <c r="L24" s="34">
        <f t="shared" si="0"/>
        <v>685</v>
      </c>
    </row>
    <row r="25" spans="1:12" ht="16.2" x14ac:dyDescent="0.25">
      <c r="A25" s="14" t="s">
        <v>46</v>
      </c>
      <c r="B25" s="33"/>
      <c r="C25" s="33"/>
      <c r="D25" s="14"/>
      <c r="E25" s="15"/>
      <c r="F25" s="15"/>
      <c r="G25" s="15">
        <v>1</v>
      </c>
      <c r="H25" s="15" t="s">
        <v>70</v>
      </c>
      <c r="I25" s="16"/>
      <c r="J25" s="16"/>
      <c r="K25" s="36">
        <v>290</v>
      </c>
      <c r="L25" s="34">
        <f t="shared" si="0"/>
        <v>290</v>
      </c>
    </row>
    <row r="26" spans="1:12" ht="16.2" x14ac:dyDescent="0.25">
      <c r="A26" s="33" t="s">
        <v>47</v>
      </c>
      <c r="B26" s="33"/>
      <c r="C26" s="33"/>
      <c r="D26" s="33"/>
      <c r="E26" s="15"/>
      <c r="F26" s="15"/>
      <c r="G26" s="15">
        <v>1</v>
      </c>
      <c r="H26" s="15" t="s">
        <v>70</v>
      </c>
      <c r="I26" s="16"/>
      <c r="J26" s="16"/>
      <c r="K26" s="36">
        <v>1050</v>
      </c>
      <c r="L26" s="34">
        <f t="shared" si="0"/>
        <v>1050</v>
      </c>
    </row>
    <row r="27" spans="1:12" ht="32.4" x14ac:dyDescent="0.25">
      <c r="A27" s="33" t="s">
        <v>48</v>
      </c>
      <c r="B27" s="33"/>
      <c r="C27" s="33"/>
      <c r="D27" s="14"/>
      <c r="E27" s="15"/>
      <c r="F27" s="15"/>
      <c r="G27" s="15">
        <v>1</v>
      </c>
      <c r="H27" s="15" t="s">
        <v>70</v>
      </c>
      <c r="I27" s="16"/>
      <c r="J27" s="16"/>
      <c r="K27" s="36">
        <v>95</v>
      </c>
      <c r="L27" s="34">
        <f t="shared" si="0"/>
        <v>95</v>
      </c>
    </row>
    <row r="28" spans="1:12" ht="16.2" x14ac:dyDescent="0.25">
      <c r="A28" s="33" t="s">
        <v>49</v>
      </c>
      <c r="B28" s="33"/>
      <c r="C28" s="33" t="s">
        <v>50</v>
      </c>
      <c r="D28" s="14"/>
      <c r="E28" s="15"/>
      <c r="F28" s="15"/>
      <c r="G28" s="15">
        <v>1</v>
      </c>
      <c r="H28" s="15" t="s">
        <v>70</v>
      </c>
      <c r="I28" s="16"/>
      <c r="J28" s="16"/>
      <c r="K28" s="36">
        <v>475</v>
      </c>
      <c r="L28" s="34">
        <f>K28*G28</f>
        <v>475</v>
      </c>
    </row>
    <row r="29" spans="1:12" ht="16.2" x14ac:dyDescent="0.25">
      <c r="A29" s="33" t="s">
        <v>51</v>
      </c>
      <c r="B29" s="33"/>
      <c r="C29" s="33" t="s">
        <v>53</v>
      </c>
      <c r="D29" s="14"/>
      <c r="E29" s="15"/>
      <c r="F29" s="15"/>
      <c r="G29" s="15">
        <v>1</v>
      </c>
      <c r="H29" s="15" t="s">
        <v>71</v>
      </c>
      <c r="I29" s="16"/>
      <c r="J29" s="16"/>
      <c r="K29" s="36">
        <v>550</v>
      </c>
      <c r="L29" s="34">
        <f t="shared" si="0"/>
        <v>550</v>
      </c>
    </row>
    <row r="30" spans="1:12" ht="16.2" x14ac:dyDescent="0.25">
      <c r="A30" s="33" t="s">
        <v>52</v>
      </c>
      <c r="B30" s="33"/>
      <c r="C30" s="33" t="s">
        <v>53</v>
      </c>
      <c r="D30" s="14"/>
      <c r="E30" s="15"/>
      <c r="F30" s="15"/>
      <c r="G30" s="15">
        <v>1</v>
      </c>
      <c r="H30" s="15" t="s">
        <v>71</v>
      </c>
      <c r="I30" s="16"/>
      <c r="J30" s="16"/>
      <c r="K30" s="36">
        <v>550</v>
      </c>
      <c r="L30" s="34">
        <f t="shared" si="0"/>
        <v>550</v>
      </c>
    </row>
    <row r="31" spans="1:12" ht="55.2" customHeight="1" x14ac:dyDescent="0.25">
      <c r="A31" s="33" t="s">
        <v>54</v>
      </c>
      <c r="B31" s="33"/>
      <c r="C31" s="33" t="s">
        <v>55</v>
      </c>
      <c r="D31" s="14"/>
      <c r="E31" s="15"/>
      <c r="F31" s="15"/>
      <c r="G31" s="15">
        <v>1</v>
      </c>
      <c r="H31" s="15" t="s">
        <v>70</v>
      </c>
      <c r="I31" s="16"/>
      <c r="J31" s="16"/>
      <c r="K31" s="36">
        <v>360</v>
      </c>
      <c r="L31" s="34">
        <f t="shared" si="0"/>
        <v>360</v>
      </c>
    </row>
    <row r="32" spans="1:12" ht="16.2" x14ac:dyDescent="0.25">
      <c r="A32" s="33" t="s">
        <v>56</v>
      </c>
      <c r="B32" s="33"/>
      <c r="C32" s="33" t="s">
        <v>57</v>
      </c>
      <c r="D32" s="14"/>
      <c r="E32" s="15"/>
      <c r="F32" s="15"/>
      <c r="G32" s="15">
        <v>1</v>
      </c>
      <c r="H32" s="15" t="s">
        <v>70</v>
      </c>
      <c r="I32" s="16"/>
      <c r="J32" s="16"/>
      <c r="K32" s="34">
        <v>250</v>
      </c>
      <c r="L32" s="34">
        <f t="shared" si="0"/>
        <v>250</v>
      </c>
    </row>
    <row r="33" spans="1:14" ht="32.4" x14ac:dyDescent="0.25">
      <c r="A33" s="33" t="s">
        <v>58</v>
      </c>
      <c r="B33" s="33"/>
      <c r="C33" s="33" t="s">
        <v>67</v>
      </c>
      <c r="D33" s="14"/>
      <c r="E33" s="15"/>
      <c r="F33" s="15"/>
      <c r="G33" s="15">
        <v>1</v>
      </c>
      <c r="H33" s="15" t="s">
        <v>70</v>
      </c>
      <c r="I33" s="16"/>
      <c r="J33" s="16"/>
      <c r="K33" s="34">
        <v>800</v>
      </c>
      <c r="L33" s="34">
        <f t="shared" si="0"/>
        <v>800</v>
      </c>
    </row>
    <row r="34" spans="1:14" ht="16.2" x14ac:dyDescent="0.25">
      <c r="A34" s="33" t="s">
        <v>65</v>
      </c>
      <c r="B34" s="33"/>
      <c r="C34" s="33" t="s">
        <v>66</v>
      </c>
      <c r="D34" s="14"/>
      <c r="E34" s="15"/>
      <c r="F34" s="15"/>
      <c r="G34" s="15">
        <v>22</v>
      </c>
      <c r="H34" s="15" t="s">
        <v>69</v>
      </c>
      <c r="I34" s="16"/>
      <c r="J34" s="16"/>
      <c r="K34" s="36">
        <v>75</v>
      </c>
      <c r="L34" s="34">
        <f t="shared" si="0"/>
        <v>1650</v>
      </c>
    </row>
    <row r="35" spans="1:14" ht="27.6" customHeight="1" thickBot="1" x14ac:dyDescent="0.3">
      <c r="A35" s="8"/>
      <c r="B35" s="9"/>
      <c r="C35" s="8"/>
      <c r="D35" s="10"/>
      <c r="E35" s="10"/>
      <c r="F35" s="10"/>
      <c r="G35" s="10"/>
      <c r="H35" s="11"/>
      <c r="I35" s="9"/>
      <c r="J35" s="12"/>
      <c r="K35" s="13"/>
      <c r="L35" s="13"/>
    </row>
    <row r="36" spans="1:14" ht="27.6" customHeight="1" thickBot="1" x14ac:dyDescent="0.4">
      <c r="A36" s="8"/>
      <c r="B36" s="9"/>
      <c r="C36" s="8"/>
      <c r="D36" s="10"/>
      <c r="E36" s="10"/>
      <c r="F36" s="10"/>
      <c r="G36" s="10"/>
      <c r="H36" s="11"/>
      <c r="I36" s="9"/>
      <c r="J36" s="12"/>
      <c r="K36" s="20" t="s">
        <v>12</v>
      </c>
      <c r="L36" s="21">
        <f>SUM(L18:L35)</f>
        <v>49365.200000000004</v>
      </c>
      <c r="N36" s="93">
        <f>L36*1.2</f>
        <v>59238.240000000005</v>
      </c>
    </row>
    <row r="37" spans="1:14" ht="27.6" customHeight="1" thickBot="1" x14ac:dyDescent="0.3">
      <c r="A37" s="8"/>
      <c r="B37" s="9"/>
      <c r="C37" s="8"/>
      <c r="D37" s="10"/>
      <c r="E37" s="10"/>
      <c r="F37" s="10"/>
      <c r="G37" s="10"/>
      <c r="H37" s="11"/>
      <c r="I37" s="9"/>
      <c r="J37" s="12"/>
      <c r="K37" s="20" t="s">
        <v>11</v>
      </c>
      <c r="L37" s="22">
        <f>L36/K11</f>
        <v>957.95791716555061</v>
      </c>
    </row>
    <row r="38" spans="1:14" ht="20.399999999999999" customHeight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</row>
    <row r="39" spans="1:14" ht="17.25" customHeight="1" x14ac:dyDescent="0.25">
      <c r="A39" s="55" t="s">
        <v>18</v>
      </c>
      <c r="B39" s="58"/>
      <c r="C39" s="59"/>
      <c r="D39" s="59"/>
      <c r="E39" s="59"/>
      <c r="F39" s="59"/>
      <c r="G39" s="59"/>
      <c r="H39" s="59"/>
      <c r="I39" s="59"/>
      <c r="J39" s="60"/>
    </row>
    <row r="40" spans="1:14" x14ac:dyDescent="0.25">
      <c r="A40" s="56"/>
      <c r="B40" s="61"/>
      <c r="C40" s="61"/>
      <c r="D40" s="61"/>
      <c r="E40" s="61"/>
      <c r="F40" s="61"/>
      <c r="G40" s="61"/>
      <c r="H40" s="61"/>
      <c r="I40" s="61"/>
      <c r="J40" s="62"/>
    </row>
    <row r="41" spans="1:14" x14ac:dyDescent="0.25">
      <c r="A41" s="56"/>
      <c r="B41" s="61"/>
      <c r="C41" s="61"/>
      <c r="D41" s="61"/>
      <c r="E41" s="61"/>
      <c r="F41" s="61"/>
      <c r="G41" s="61"/>
      <c r="H41" s="61"/>
      <c r="I41" s="61"/>
      <c r="J41" s="62"/>
    </row>
    <row r="42" spans="1:14" ht="51" customHeight="1" x14ac:dyDescent="0.25">
      <c r="A42" s="56"/>
      <c r="B42" s="61"/>
      <c r="C42" s="61"/>
      <c r="D42" s="61"/>
      <c r="E42" s="61"/>
      <c r="F42" s="61"/>
      <c r="G42" s="61"/>
      <c r="H42" s="61"/>
      <c r="I42" s="61"/>
      <c r="J42" s="62"/>
    </row>
    <row r="43" spans="1:14" x14ac:dyDescent="0.25">
      <c r="A43" s="56"/>
      <c r="B43" s="61"/>
      <c r="C43" s="61"/>
      <c r="D43" s="61"/>
      <c r="E43" s="61"/>
      <c r="F43" s="61"/>
      <c r="G43" s="61"/>
      <c r="H43" s="61"/>
      <c r="I43" s="61"/>
      <c r="J43" s="62"/>
    </row>
    <row r="44" spans="1:14" ht="14.4" thickBot="1" x14ac:dyDescent="0.3">
      <c r="A44" s="57"/>
      <c r="B44" s="63"/>
      <c r="C44" s="63"/>
      <c r="D44" s="63"/>
      <c r="E44" s="63"/>
      <c r="F44" s="63"/>
      <c r="G44" s="63"/>
      <c r="H44" s="63"/>
      <c r="I44" s="63"/>
      <c r="J44" s="64"/>
    </row>
    <row r="45" spans="1:14" ht="21.6" thickBot="1" x14ac:dyDescent="0.4">
      <c r="A45" s="31"/>
    </row>
    <row r="46" spans="1:14" ht="13.95" customHeight="1" x14ac:dyDescent="0.25">
      <c r="A46" s="46" t="s">
        <v>19</v>
      </c>
      <c r="B46" s="49" t="s">
        <v>20</v>
      </c>
      <c r="C46" s="49"/>
      <c r="D46" s="49"/>
      <c r="E46" s="49"/>
      <c r="F46" s="49"/>
      <c r="G46" s="49"/>
      <c r="H46" s="49"/>
      <c r="I46" s="49"/>
      <c r="J46" s="50"/>
    </row>
    <row r="47" spans="1:14" ht="13.95" customHeight="1" x14ac:dyDescent="0.25">
      <c r="A47" s="47"/>
      <c r="B47" s="51"/>
      <c r="C47" s="51"/>
      <c r="D47" s="51"/>
      <c r="E47" s="51"/>
      <c r="F47" s="51"/>
      <c r="G47" s="51"/>
      <c r="H47" s="51"/>
      <c r="I47" s="51"/>
      <c r="J47" s="52"/>
    </row>
    <row r="48" spans="1:14" ht="13.95" customHeight="1" x14ac:dyDescent="0.25">
      <c r="A48" s="47"/>
      <c r="B48" s="51"/>
      <c r="C48" s="51"/>
      <c r="D48" s="51"/>
      <c r="E48" s="51"/>
      <c r="F48" s="51"/>
      <c r="G48" s="51"/>
      <c r="H48" s="51"/>
      <c r="I48" s="51"/>
      <c r="J48" s="52"/>
    </row>
    <row r="49" spans="1:10" ht="13.95" customHeight="1" x14ac:dyDescent="0.25">
      <c r="A49" s="47"/>
      <c r="B49" s="51"/>
      <c r="C49" s="51"/>
      <c r="D49" s="51"/>
      <c r="E49" s="51"/>
      <c r="F49" s="51"/>
      <c r="G49" s="51"/>
      <c r="H49" s="51"/>
      <c r="I49" s="51"/>
      <c r="J49" s="52"/>
    </row>
    <row r="50" spans="1:10" ht="13.95" customHeight="1" x14ac:dyDescent="0.25">
      <c r="A50" s="47"/>
      <c r="B50" s="51"/>
      <c r="C50" s="51"/>
      <c r="D50" s="51"/>
      <c r="E50" s="51"/>
      <c r="F50" s="51"/>
      <c r="G50" s="51"/>
      <c r="H50" s="51"/>
      <c r="I50" s="51"/>
      <c r="J50" s="52"/>
    </row>
    <row r="51" spans="1:10" ht="13.95" customHeight="1" x14ac:dyDescent="0.25">
      <c r="A51" s="47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13.95" customHeight="1" x14ac:dyDescent="0.25">
      <c r="A52" s="47"/>
      <c r="B52" s="51"/>
      <c r="C52" s="51"/>
      <c r="D52" s="51"/>
      <c r="E52" s="51"/>
      <c r="F52" s="51"/>
      <c r="G52" s="51"/>
      <c r="H52" s="51"/>
      <c r="I52" s="51"/>
      <c r="J52" s="52"/>
    </row>
    <row r="53" spans="1:10" ht="14.4" customHeight="1" x14ac:dyDescent="0.25">
      <c r="A53" s="47"/>
      <c r="B53" s="51"/>
      <c r="C53" s="51"/>
      <c r="D53" s="51"/>
      <c r="E53" s="51"/>
      <c r="F53" s="51"/>
      <c r="G53" s="51"/>
      <c r="H53" s="51"/>
      <c r="I53" s="51"/>
      <c r="J53" s="52"/>
    </row>
    <row r="54" spans="1:10" ht="14.4" customHeight="1" x14ac:dyDescent="0.25">
      <c r="A54" s="47"/>
      <c r="B54" s="51"/>
      <c r="C54" s="51"/>
      <c r="D54" s="51"/>
      <c r="E54" s="51"/>
      <c r="F54" s="51"/>
      <c r="G54" s="51"/>
      <c r="H54" s="51"/>
      <c r="I54" s="51"/>
      <c r="J54" s="52"/>
    </row>
    <row r="55" spans="1:10" ht="14.4" customHeight="1" thickBot="1" x14ac:dyDescent="0.3">
      <c r="A55" s="48"/>
      <c r="B55" s="53"/>
      <c r="C55" s="53"/>
      <c r="D55" s="53"/>
      <c r="E55" s="53"/>
      <c r="F55" s="53"/>
      <c r="G55" s="53"/>
      <c r="H55" s="53"/>
      <c r="I55" s="53"/>
      <c r="J55" s="54"/>
    </row>
  </sheetData>
  <dataConsolidate/>
  <mergeCells count="28">
    <mergeCell ref="C2:K4"/>
    <mergeCell ref="C7:H7"/>
    <mergeCell ref="A7:B7"/>
    <mergeCell ref="A8:B8"/>
    <mergeCell ref="C8:H8"/>
    <mergeCell ref="A6:B6"/>
    <mergeCell ref="C6:H6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  <mergeCell ref="A12:B12"/>
    <mergeCell ref="C12:H12"/>
    <mergeCell ref="K18:K20"/>
    <mergeCell ref="J18:J20"/>
    <mergeCell ref="L18:L20"/>
    <mergeCell ref="A46:A55"/>
    <mergeCell ref="B46:J55"/>
    <mergeCell ref="A39:A44"/>
    <mergeCell ref="B39:J44"/>
  </mergeCells>
  <phoneticPr fontId="12" type="noConversion"/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Güvenlik Reaksiyon Polis Tim Ar</vt:lpstr>
      <vt:lpstr>'Güvenlik Reaksiyon Polis Tim 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2026-04-28T08:34:35Z</dcterms:modified>
</cp:coreProperties>
</file>