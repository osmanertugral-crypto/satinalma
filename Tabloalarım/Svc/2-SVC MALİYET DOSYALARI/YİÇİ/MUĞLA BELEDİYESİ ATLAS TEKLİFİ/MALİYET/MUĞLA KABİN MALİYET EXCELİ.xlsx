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2-SVC MALİYET DOSYALARI\YİÇİ\MUĞLA BELEDİYESİ ATLAS TEKLİFİ\MALİYET\"/>
    </mc:Choice>
  </mc:AlternateContent>
  <xr:revisionPtr revIDLastSave="0" documentId="13_ncr:1_{211FF063-637E-4F7C-9A05-D9B9A8C2DAED}" xr6:coauthVersionLast="47" xr6:coauthVersionMax="47" xr10:uidLastSave="{00000000-0000-0000-0000-000000000000}"/>
  <bookViews>
    <workbookView xWindow="-108" yWindow="-108" windowWidth="23256" windowHeight="12456" xr2:uid="{BA95FC1E-CD1B-490F-9A0C-080875F12861}"/>
  </bookViews>
  <sheets>
    <sheet name="Muğla Atlas" sheetId="8" r:id="rId1"/>
  </sheets>
  <definedNames>
    <definedName name="_xlnm.Print_Area" localSheetId="0">'Muğla Atlas'!$A$1:$L$69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9" i="8" l="1"/>
  <c r="L42" i="8"/>
  <c r="L38" i="8"/>
  <c r="L37" i="8"/>
  <c r="L18" i="8"/>
  <c r="L33" i="8"/>
  <c r="L29" i="8"/>
  <c r="L30" i="8"/>
  <c r="L31" i="8"/>
  <c r="L32" i="8"/>
  <c r="L28" i="8"/>
  <c r="L40" i="8"/>
  <c r="L27" i="8"/>
  <c r="L26" i="8"/>
  <c r="L24" i="8"/>
  <c r="L25" i="8"/>
  <c r="L23" i="8"/>
  <c r="L22" i="8"/>
  <c r="L21" i="8"/>
  <c r="L20" i="8"/>
  <c r="L41" i="8"/>
  <c r="L48" i="8"/>
  <c r="L47" i="8"/>
  <c r="L50" i="8" l="1"/>
  <c r="L55" i="8" s="1"/>
  <c r="L51" i="8" l="1"/>
</calcChain>
</file>

<file path=xl/sharedStrings.xml><?xml version="1.0" encoding="utf-8"?>
<sst xmlns="http://schemas.openxmlformats.org/spreadsheetml/2006/main" count="136" uniqueCount="110">
  <si>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</si>
  <si>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</si>
  <si>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</si>
  <si>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</si>
  <si>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</si>
  <si>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</si>
  <si>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</si>
  <si>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</si>
  <si>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</si>
  <si>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</si>
  <si>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</si>
  <si>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</si>
  <si>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</si>
  <si>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</si>
  <si>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</si>
  <si>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</si>
  <si>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Yurtiçi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</si>
  <si>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</si>
  <si>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</si>
  <si>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</si>
  <si>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</si>
  <si>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</si>
  <si>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</si>
  <si>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</si>
  <si>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</si>
  <si>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</si>
  <si>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</si>
  <si>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</si>
  <si>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OLUŞTURULAN TARİH</t>
  </si>
  <si>
    <t>TEKLİF VERİLECEK TARİH</t>
  </si>
  <si>
    <t>SVC</t>
  </si>
  <si>
    <t>ARAÇ</t>
  </si>
  <si>
    <t>Ürün 
Departmanı Notu</t>
  </si>
  <si>
    <t>AFET ACİL DURUMU MOBİL HABERLEŞME ARACI</t>
  </si>
  <si>
    <t>MUĞLA BELEDİYESİ</t>
  </si>
  <si>
    <t>GÖVDE</t>
  </si>
  <si>
    <t>MONOBLOCK</t>
  </si>
  <si>
    <t>ASPİLSAN ASP-S6000BZ BAVUL TIPI ENERJI DEPOLAMA SISTEMI</t>
  </si>
  <si>
    <t>KONTROL PANELİ</t>
  </si>
  <si>
    <t>SERVİS AKÜSÜ</t>
  </si>
  <si>
    <t>Taşınabilir (bavul tipi) enerji depolama sistemi</t>
  </si>
  <si>
    <t>JENERATÖR</t>
  </si>
  <si>
    <t>HYUNDAİ G2800i BENZİNLİ İNVERTÖRJENARATÖR 2.8 Kw</t>
  </si>
  <si>
    <t>Taşınabilir inverter tip jeneratör.</t>
  </si>
  <si>
    <t>UZATMA KABLOLARI</t>
  </si>
  <si>
    <t>1 adet (5 m) uzatma kablosu</t>
  </si>
  <si>
    <t>Taşınabilir enerji sisteminin kabin dışından içeriye enerji vermesini sağlayacaktır.</t>
  </si>
  <si>
    <t>Kabin içerisinden dış ortama enerji dağıtımı yapacak, 3’lü prizli olacaktır.</t>
  </si>
  <si>
    <t>2 adet (5 m) uzatma kablosu</t>
  </si>
  <si>
    <t>1 adet (10 m) uzatma kablosu</t>
  </si>
  <si>
    <t>jeneratörün kabin dışından kabin iç sistemini beslemesini sağlayacaktır.</t>
  </si>
  <si>
    <t>GAZ SENSÖRÜ</t>
  </si>
  <si>
    <t>Gaz algılama sensörü</t>
  </si>
  <si>
    <t>DIŞ AYDINLATMA</t>
  </si>
  <si>
    <t>• Kapı aydınlatması
• Sağ yan aydınlatması
• Sol yan aydınlatması
• Ön aydınlatma</t>
  </si>
  <si>
    <t>İÇ AYDINLATMALAR</t>
  </si>
  <si>
    <t>Dokunmatik aydınlatma
3 adet</t>
  </si>
  <si>
    <t>SANEL 
4 adet</t>
  </si>
  <si>
    <t>110 wat güneş paneli
1 adet</t>
  </si>
  <si>
    <t>Harici Portatif Güneş Paneli Bağlantı Altyapısı ve çıkışı 
2 adet</t>
  </si>
  <si>
    <t>Kabin dış yüzeyinde 2 adet portatif güneş paneli bağlantısına uygun giriş bulunacaktır.</t>
  </si>
  <si>
    <t>MPPT</t>
  </si>
  <si>
    <t>Esnek yada Sabit</t>
  </si>
  <si>
    <t>Tek MPPT üzerinden sabit ve portatif paneller yönetilecektir.
• En az 60V PV giriş ve 700W panel kapasitesini destekleyecektir.
• 12V / 24V sistemlerle uyumlu olacaktır.
• Şarj kapasitesi en az 50A (12V) / 25A (24V) olacaktır.
• Aşırı şarj, deşarj, ters kutup, kısa devre, aşırı akım ve sıcaklık korumaları bulunacaktır.</t>
  </si>
  <si>
    <t>ELEKTRİK DETAYI</t>
  </si>
  <si>
    <t xml:space="preserve">12V Soket ve USB Bağlantı Noktası </t>
  </si>
  <si>
    <t>Dış enerji girişi</t>
  </si>
  <si>
    <t>Dış enerji çıkışı</t>
  </si>
  <si>
    <t>DIŞ KAPLAMA</t>
  </si>
  <si>
    <t>Raptor</t>
  </si>
  <si>
    <t>AYAK SİSTEMİ</t>
  </si>
  <si>
    <t>hotomobil elektrikli ayak 
4 adet</t>
  </si>
  <si>
    <t>SEYİR ŞARJI</t>
  </si>
  <si>
    <t>3 pin konnektörlü</t>
  </si>
  <si>
    <t>ANTEN DİREĞİ</t>
  </si>
  <si>
    <t>kabin yerdeyken 450 cm yüksekliğe çıkan katlanır ya da teleskopik anten direği</t>
  </si>
  <si>
    <t>GÜÇ KAYNAĞI</t>
  </si>
  <si>
    <t>(POWER SUPPLY / PSU) NDR-240-48 240 w / 5.0 a din-rail 48 vdc power supply, universal 90 to 264 vac or 127 to 370 vdc input voltage, -20 to 70°c operating temperature</t>
  </si>
  <si>
    <t>MUĞA BELEDİYESİ TARAFINDAN GÖNDERİLDİ.</t>
  </si>
  <si>
    <t>ROUTER</t>
  </si>
  <si>
    <t>(5G ENDÜSTRİYEL ROUTER / MODEM ROUTER) MAX-BR2-PRO-5GN-T-PRM (MAX BR2 PRO) 2x 5g modem (global) 2x ethernet wan (can act as a lan port if needed) 1x usb 3.0 wan interface 2x2</t>
  </si>
  <si>
    <t xml:space="preserve"> (NETWORK SWITCH) RG-NIS2100-8GT2SFP-HP 8-port 10/100/1000base-t, 2-port 100/1000base-x sfp (non-combo), operating temperature -40°c ~ 80°c</t>
  </si>
  <si>
    <t>SWITCH</t>
  </si>
  <si>
    <t>ACCESS POINT</t>
  </si>
  <si>
    <t>(WIFI VERİCİ - OUTDOOR) HPE ANW AP-765 (RW) OUTDOOR hpe anw ap-765 (rw) outdoor</t>
  </si>
  <si>
    <t>UYDU ANTENİ</t>
  </si>
  <si>
    <t>(VSAT – UYDU HABERLEŞME SİSTEMİ) neta mva75 autoskew vsat</t>
  </si>
  <si>
    <t>MUĞA BELEDİYESİ TARAFINDAN GÖNDERİLECEKTİR. ÜRÜN HAZIR, KABİN HAZIR OLDUĞUNDA MONTAJA GELECEKLER.</t>
  </si>
  <si>
    <t>YANGIN TÜPÜ</t>
  </si>
  <si>
    <t>2 Litrelik yangın tüpü</t>
  </si>
  <si>
    <t>USB ÇOĞALTICI</t>
  </si>
  <si>
    <t>2 ADET</t>
  </si>
  <si>
    <t>GÜNEŞ PANELİ</t>
  </si>
  <si>
    <t>MİN 20 KG YÜK TAŞIYACAKTIR.  ÜZERİNDE 5 KG VERİCİ VE KABLOLARI OLACAKTIR.</t>
  </si>
  <si>
    <t xml:space="preserve">RACK KABİN </t>
  </si>
  <si>
    <t>ASPİLSAN</t>
  </si>
  <si>
    <t>Hyundai</t>
  </si>
  <si>
    <t>Rack Kabin</t>
  </si>
  <si>
    <t>USB Hub ( 1 X 30lu 5V 1A)</t>
  </si>
  <si>
    <t>Mean Well LRS-600-12 12V DC 50A Kapalı Kasa Anahtarlamalı Güç Kaynağı</t>
  </si>
  <si>
    <t>EcoFlow Yada Anker 400W Taşınabilir Güneş Paneli (2 ADET)</t>
  </si>
  <si>
    <t>Teklif</t>
  </si>
  <si>
    <t>İDARECE BİLDİRİLECEK (BEYAZ RENK, LOGO VE  KURUMSAL KİMLİĞE UYGUN ŞABLON YAZILI)</t>
  </si>
  <si>
    <t>FANLI</t>
  </si>
  <si>
    <t>Sswitch, router, güç kaynağı sığacak. Harici olarak benzer malzemeler ilave edilebilir</t>
  </si>
  <si>
    <t>iç ve dış aydınlatmaların açma kapaması için ekonomik seçenek. Panele gerek olmayabilir anahtar işimizi çözer</t>
  </si>
  <si>
    <t>Giriş ve uygun yerler</t>
  </si>
  <si>
    <t>Dokunmatik aydınlatma
2 adet</t>
  </si>
  <si>
    <t>440W</t>
  </si>
  <si>
    <t>ATLAS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</si>
</sst>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  <numFmt numFmtId="166" formatCode="&quot;₺&quot;#,##0.00"/>
    <numFmt numFmtId="168" formatCode="_-[$₺-41F]* #,##0_-;\-[$₺-41F]* #,##0_-;_-[$₺-41F]* &quot;-&quot;??_-;_-@_-"/>
    <numFmt numFmtId="171" formatCode="_-&quot;₺&quot;* #,##0.00_-;\-&quot;₺&quot;* #,##0.00_-;_-&quot;₺&quot;* &quot;-&quot;??_-;_-@_-"/>
  </numFmts>
  <fonts count="1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b/>
      <sz val="13"/>
      <color theme="1"/>
      <name val="Century Gothic"/>
      <family val="2"/>
      <charset val="162"/>
    </font>
    <font>
      <u/>
      <sz val="11"/>
      <color theme="10"/>
      <name val="Aptos Narrow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2" fillId="0" borderId="0" applyFont="0" applyFill="0" applyBorder="0" applyAlignment="0" applyProtection="0"/>
    <xf numFmtId="171" fontId="2" fillId="0" borderId="0" applyFont="0" applyFill="0" applyBorder="0" applyAlignment="0" applyProtection="0"/>
  </cellStyleXfs>
  <cellXfs count="113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2" fontId="5" fillId="0" borderId="0" xfId="0" applyNumberFormat="1" applyFont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wrapText="1"/>
    </xf>
    <xf numFmtId="0" fontId="7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vertical="center" wrapText="1"/>
    </xf>
    <xf numFmtId="0" fontId="7" fillId="6" borderId="0" xfId="0" applyFont="1" applyFill="1" applyAlignment="1">
      <alignment vertical="center"/>
    </xf>
    <xf numFmtId="0" fontId="7" fillId="6" borderId="0" xfId="0" applyFont="1" applyFill="1" applyAlignment="1">
      <alignment horizontal="left" vertical="center"/>
    </xf>
    <xf numFmtId="0" fontId="12" fillId="4" borderId="34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66" fontId="7" fillId="4" borderId="1" xfId="0" applyNumberFormat="1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left" vertical="center" wrapText="1"/>
    </xf>
    <xf numFmtId="0" fontId="13" fillId="4" borderId="1" xfId="3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12" fillId="2" borderId="3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18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4" borderId="32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12" fillId="4" borderId="32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168" fontId="7" fillId="3" borderId="1" xfId="4" applyNumberFormat="1" applyFont="1" applyFill="1" applyBorder="1" applyAlignment="1">
      <alignment horizontal="center" vertical="center"/>
    </xf>
    <xf numFmtId="165" fontId="7" fillId="3" borderId="32" xfId="2" applyNumberFormat="1" applyFont="1" applyFill="1" applyBorder="1" applyAlignment="1">
      <alignment horizontal="center" vertical="center"/>
    </xf>
    <xf numFmtId="165" fontId="7" fillId="3" borderId="33" xfId="2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5" fontId="7" fillId="3" borderId="1" xfId="5" applyNumberFormat="1" applyFont="1" applyFill="1" applyBorder="1" applyAlignment="1">
      <alignment horizontal="center" vertical="center"/>
    </xf>
    <xf numFmtId="165" fontId="7" fillId="3" borderId="34" xfId="2" applyNumberFormat="1" applyFont="1" applyFill="1" applyBorder="1" applyAlignment="1">
      <alignment horizontal="center" vertical="center"/>
    </xf>
    <xf numFmtId="0" fontId="3" fillId="0" borderId="0" xfId="0" applyFont="1"/>
    <xf numFmtId="0" fontId="7" fillId="5" borderId="1" xfId="0" applyFont="1" applyFill="1" applyBorder="1" applyAlignment="1">
      <alignment horizontal="center" vertical="center"/>
    </xf>
    <xf numFmtId="165" fontId="7" fillId="3" borderId="1" xfId="5" applyNumberFormat="1" applyFont="1" applyFill="1" applyBorder="1" applyAlignment="1">
      <alignment horizontal="center" vertical="center"/>
    </xf>
  </cellXfs>
  <cellStyles count="6">
    <cellStyle name="Köprü" xfId="3" builtinId="8"/>
    <cellStyle name="Normal" xfId="0" builtinId="0"/>
    <cellStyle name="Normal 2" xfId="1" xr:uid="{B4716F7D-D368-4BBC-B121-95FEF976DFCE}"/>
    <cellStyle name="ParaBirimi" xfId="2" builtinId="4"/>
    <cellStyle name="ParaBirimi 2" xfId="5" xr:uid="{634E0528-FD04-499C-B96E-E47C99C6822D}"/>
    <cellStyle name="Yüzde" xfId="4" builtinId="5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873652</xdr:colOff>
      <xdr:row>1</xdr:row>
      <xdr:rowOff>134472</xdr:rowOff>
    </xdr:from>
    <xdr:to>
      <xdr:col>8</xdr:col>
      <xdr:colOff>2120562</xdr:colOff>
      <xdr:row>3</xdr:row>
      <xdr:rowOff>466980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5EB33329-9387-4778-8F37-5C83C4FC78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3256152" y="286872"/>
          <a:ext cx="4965470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A0A1-6CD2-4854-A321-3D94CD878A1C}">
  <sheetPr>
    <pageSetUpPr fitToPage="1"/>
  </sheetPr>
  <dimension ref="A1:N89"/>
  <sheetViews>
    <sheetView tabSelected="1" topLeftCell="B19" zoomScale="70" zoomScaleNormal="70" workbookViewId="0">
      <selection activeCell="L21" sqref="C20:L21"/>
    </sheetView>
  </sheetViews>
  <sheetFormatPr defaultColWidth="9.109375" defaultRowHeight="13.8" x14ac:dyDescent="0.25"/>
  <cols>
    <col min="1" max="1" width="25" style="1" customWidth="1"/>
    <col min="2" max="2" width="33.77734375" style="1" customWidth="1"/>
    <col min="3" max="3" width="34" style="1" customWidth="1"/>
    <col min="4" max="4" width="35.88671875" style="1" customWidth="1"/>
    <col min="5" max="5" width="51.88671875" style="1" customWidth="1"/>
    <col min="6" max="6" width="21.5546875" style="1" customWidth="1"/>
    <col min="7" max="7" width="17.21875" style="1" customWidth="1"/>
    <col min="8" max="8" width="15.44140625" style="1" customWidth="1"/>
    <col min="9" max="9" width="71.88671875" style="1" customWidth="1"/>
    <col min="10" max="10" width="23.109375" style="1" customWidth="1"/>
    <col min="11" max="11" width="20.77734375" style="3" customWidth="1"/>
    <col min="12" max="12" width="27.5546875" style="1" customWidth="1"/>
    <col min="13" max="16384" width="9.109375" style="1"/>
  </cols>
  <sheetData>
    <row r="1" spans="1:14" ht="12" customHeight="1" thickBot="1" x14ac:dyDescent="0.3"/>
    <row r="2" spans="1:14" ht="42.6" customHeight="1" x14ac:dyDescent="0.25">
      <c r="A2" s="15"/>
      <c r="B2" s="24" t="s">
        <v>24</v>
      </c>
      <c r="C2" s="57"/>
      <c r="D2" s="58"/>
      <c r="E2" s="58"/>
      <c r="F2" s="58"/>
      <c r="G2" s="58"/>
      <c r="H2" s="58"/>
      <c r="I2" s="58"/>
      <c r="J2" s="58"/>
      <c r="K2" s="59"/>
    </row>
    <row r="3" spans="1:14" ht="41.4" customHeight="1" x14ac:dyDescent="0.25">
      <c r="A3" s="16"/>
      <c r="B3" s="25" t="s">
        <v>26</v>
      </c>
      <c r="C3" s="60"/>
      <c r="D3" s="61"/>
      <c r="E3" s="61"/>
      <c r="F3" s="61"/>
      <c r="G3" s="61"/>
      <c r="H3" s="61"/>
      <c r="I3" s="61"/>
      <c r="J3" s="61"/>
      <c r="K3" s="62"/>
    </row>
    <row r="4" spans="1:14" ht="41.4" customHeight="1" thickBot="1" x14ac:dyDescent="0.3">
      <c r="A4" s="17"/>
      <c r="B4" s="26" t="s">
        <v>25</v>
      </c>
      <c r="C4" s="63"/>
      <c r="D4" s="64"/>
      <c r="E4" s="64"/>
      <c r="F4" s="64"/>
      <c r="G4" s="64"/>
      <c r="H4" s="64"/>
      <c r="I4" s="64"/>
      <c r="J4" s="64"/>
      <c r="K4" s="65"/>
    </row>
    <row r="5" spans="1:14" ht="33" customHeight="1" thickBot="1" x14ac:dyDescent="0.3">
      <c r="C5" s="5"/>
      <c r="K5" s="1"/>
    </row>
    <row r="6" spans="1:14" ht="17.399999999999999" x14ac:dyDescent="0.3">
      <c r="A6" s="66" t="s">
        <v>28</v>
      </c>
      <c r="B6" s="67"/>
      <c r="C6" s="68">
        <v>46162</v>
      </c>
      <c r="D6" s="69"/>
      <c r="E6" s="69"/>
      <c r="F6" s="69"/>
      <c r="G6" s="69"/>
      <c r="H6" s="70"/>
      <c r="K6" s="1"/>
    </row>
    <row r="7" spans="1:14" ht="17.399999999999999" x14ac:dyDescent="0.3">
      <c r="A7" s="52" t="s">
        <v>29</v>
      </c>
      <c r="B7" s="53"/>
      <c r="C7" s="71">
        <v>46162</v>
      </c>
      <c r="D7" s="55"/>
      <c r="E7" s="55"/>
      <c r="F7" s="55"/>
      <c r="G7" s="55"/>
      <c r="H7" s="56"/>
      <c r="K7" s="1"/>
    </row>
    <row r="8" spans="1:14" ht="20.399999999999999" customHeight="1" x14ac:dyDescent="0.3">
      <c r="A8" s="52" t="s">
        <v>27</v>
      </c>
      <c r="B8" s="53"/>
      <c r="C8" s="54" t="s">
        <v>101</v>
      </c>
      <c r="D8" s="55"/>
      <c r="E8" s="55"/>
      <c r="F8" s="55"/>
      <c r="G8" s="55"/>
      <c r="H8" s="56"/>
      <c r="K8" s="1"/>
    </row>
    <row r="9" spans="1:14" s="4" customFormat="1" ht="18.899999999999999" customHeight="1" thickBot="1" x14ac:dyDescent="0.35">
      <c r="A9" s="72" t="s">
        <v>8</v>
      </c>
      <c r="B9" s="73"/>
      <c r="C9" s="74" t="s">
        <v>30</v>
      </c>
      <c r="D9" s="74"/>
      <c r="E9" s="74"/>
      <c r="F9" s="74"/>
      <c r="G9" s="74"/>
      <c r="H9" s="75"/>
      <c r="I9" s="1"/>
      <c r="J9" s="1"/>
    </row>
    <row r="10" spans="1:14" s="4" customFormat="1" ht="20.399999999999999" customHeight="1" x14ac:dyDescent="0.3">
      <c r="A10" s="72" t="s">
        <v>15</v>
      </c>
      <c r="B10" s="73"/>
      <c r="C10" s="74" t="s">
        <v>16</v>
      </c>
      <c r="D10" s="74"/>
      <c r="E10" s="74"/>
      <c r="F10" s="74"/>
      <c r="G10" s="74"/>
      <c r="H10" s="75"/>
      <c r="I10" s="1"/>
      <c r="J10" s="27" t="s">
        <v>13</v>
      </c>
      <c r="K10" s="28" t="s">
        <v>11</v>
      </c>
    </row>
    <row r="11" spans="1:14" s="4" customFormat="1" ht="21" customHeight="1" thickBot="1" x14ac:dyDescent="0.35">
      <c r="A11" s="72" t="s">
        <v>9</v>
      </c>
      <c r="B11" s="73"/>
      <c r="C11" s="74" t="s">
        <v>33</v>
      </c>
      <c r="D11" s="74"/>
      <c r="E11" s="74"/>
      <c r="F11" s="74"/>
      <c r="G11" s="74"/>
      <c r="H11" s="75"/>
      <c r="I11" s="1"/>
      <c r="J11" s="6">
        <v>44.42</v>
      </c>
      <c r="K11" s="7">
        <v>51.531700000000001</v>
      </c>
      <c r="L11" s="1"/>
      <c r="M11" s="1"/>
    </row>
    <row r="12" spans="1:14" s="4" customFormat="1" ht="21" customHeight="1" x14ac:dyDescent="0.3">
      <c r="A12" s="52" t="s">
        <v>31</v>
      </c>
      <c r="B12" s="53"/>
      <c r="C12" s="54" t="s">
        <v>109</v>
      </c>
      <c r="D12" s="55"/>
      <c r="E12" s="55"/>
      <c r="F12" s="55"/>
      <c r="G12" s="55"/>
      <c r="H12" s="56"/>
      <c r="I12" s="1"/>
      <c r="J12" s="30"/>
      <c r="K12" s="30"/>
      <c r="L12" s="1"/>
      <c r="M12" s="1"/>
    </row>
    <row r="13" spans="1:14" s="4" customFormat="1" ht="21" customHeight="1" x14ac:dyDescent="0.3">
      <c r="A13" s="72" t="s">
        <v>17</v>
      </c>
      <c r="B13" s="73"/>
      <c r="C13" s="74" t="s">
        <v>34</v>
      </c>
      <c r="D13" s="74"/>
      <c r="E13" s="74"/>
      <c r="F13" s="74"/>
      <c r="G13" s="74"/>
      <c r="H13" s="75"/>
      <c r="I13" s="1"/>
      <c r="J13" s="1"/>
      <c r="K13" s="1"/>
      <c r="L13" s="1"/>
      <c r="M13" s="1"/>
      <c r="N13" s="1"/>
    </row>
    <row r="14" spans="1:14" s="4" customFormat="1" ht="21" customHeight="1" x14ac:dyDescent="0.3">
      <c r="A14" s="72" t="s">
        <v>10</v>
      </c>
      <c r="B14" s="73"/>
      <c r="C14" s="74" t="s">
        <v>102</v>
      </c>
      <c r="D14" s="74"/>
      <c r="E14" s="74"/>
      <c r="F14" s="74"/>
      <c r="G14" s="74"/>
      <c r="H14" s="75"/>
      <c r="I14" s="1"/>
      <c r="J14" s="1"/>
      <c r="K14" s="1"/>
      <c r="L14" s="1"/>
      <c r="M14" s="1"/>
      <c r="N14" s="1"/>
    </row>
    <row r="15" spans="1:14" s="4" customFormat="1" ht="18.899999999999999" customHeight="1" thickBot="1" x14ac:dyDescent="0.35">
      <c r="A15" s="94" t="s">
        <v>14</v>
      </c>
      <c r="B15" s="95"/>
      <c r="C15" s="96">
        <v>1</v>
      </c>
      <c r="D15" s="96"/>
      <c r="E15" s="96"/>
      <c r="F15" s="96"/>
      <c r="G15" s="96"/>
      <c r="H15" s="97"/>
      <c r="I15" s="1"/>
      <c r="J15" s="1"/>
      <c r="K15" s="1"/>
      <c r="L15" s="1"/>
      <c r="M15" s="1"/>
    </row>
    <row r="16" spans="1:14" ht="18.600000000000001" customHeight="1" thickBot="1" x14ac:dyDescent="0.3">
      <c r="K16" s="1"/>
    </row>
    <row r="17" spans="1:12" ht="58.2" customHeight="1" x14ac:dyDescent="0.3">
      <c r="A17" s="21" t="s">
        <v>0</v>
      </c>
      <c r="B17" s="22" t="s">
        <v>3</v>
      </c>
      <c r="C17" s="22" t="s">
        <v>22</v>
      </c>
      <c r="D17" s="22" t="s">
        <v>4</v>
      </c>
      <c r="E17" s="22" t="s">
        <v>7</v>
      </c>
      <c r="F17" s="34" t="s">
        <v>32</v>
      </c>
      <c r="G17" s="22" t="s">
        <v>5</v>
      </c>
      <c r="H17" s="22" t="s">
        <v>1</v>
      </c>
      <c r="I17" s="23" t="s">
        <v>21</v>
      </c>
      <c r="J17" s="22" t="s">
        <v>23</v>
      </c>
      <c r="K17" s="22" t="s">
        <v>2</v>
      </c>
      <c r="L17" s="22" t="s">
        <v>6</v>
      </c>
    </row>
    <row r="18" spans="1:12" ht="31.2" customHeight="1" x14ac:dyDescent="0.25">
      <c r="A18" s="42" t="s">
        <v>35</v>
      </c>
      <c r="B18" s="41" t="s">
        <v>36</v>
      </c>
      <c r="C18" s="31"/>
      <c r="D18" s="11"/>
      <c r="E18" s="12"/>
      <c r="F18" s="12"/>
      <c r="G18" s="12">
        <v>1</v>
      </c>
      <c r="H18" s="12" t="s">
        <v>14</v>
      </c>
      <c r="I18" s="13"/>
      <c r="J18" s="13"/>
      <c r="K18" s="104">
        <v>25000</v>
      </c>
      <c r="L18" s="32">
        <f>K18*G18</f>
        <v>25000</v>
      </c>
    </row>
    <row r="19" spans="1:12" ht="64.8" x14ac:dyDescent="0.25">
      <c r="A19" s="46" t="s">
        <v>94</v>
      </c>
      <c r="B19" s="31" t="s">
        <v>103</v>
      </c>
      <c r="C19" s="31" t="s">
        <v>104</v>
      </c>
      <c r="D19" s="11"/>
      <c r="E19" s="12"/>
      <c r="F19" s="12"/>
      <c r="G19" s="12"/>
      <c r="H19" s="12"/>
      <c r="I19" s="13"/>
      <c r="J19" s="13"/>
      <c r="K19" s="104">
        <v>7500</v>
      </c>
      <c r="L19" s="32">
        <f>K19*1</f>
        <v>7500</v>
      </c>
    </row>
    <row r="20" spans="1:12" ht="109.8" customHeight="1" x14ac:dyDescent="0.25">
      <c r="A20" s="43" t="s">
        <v>38</v>
      </c>
      <c r="B20" s="31"/>
      <c r="C20" s="31" t="s">
        <v>105</v>
      </c>
      <c r="D20" s="11"/>
      <c r="E20" s="12"/>
      <c r="F20" s="12"/>
      <c r="G20" s="12">
        <v>1</v>
      </c>
      <c r="H20" s="12" t="s">
        <v>14</v>
      </c>
      <c r="I20" s="13"/>
      <c r="J20" s="13"/>
      <c r="K20" s="104">
        <v>14000</v>
      </c>
      <c r="L20" s="32">
        <f>K20*G20</f>
        <v>14000</v>
      </c>
    </row>
    <row r="21" spans="1:12" ht="48.6" x14ac:dyDescent="0.25">
      <c r="A21" s="43" t="s">
        <v>39</v>
      </c>
      <c r="B21" s="31" t="s">
        <v>37</v>
      </c>
      <c r="C21" s="31" t="s">
        <v>40</v>
      </c>
      <c r="D21" s="45" t="s">
        <v>95</v>
      </c>
      <c r="E21" s="12"/>
      <c r="F21" s="12"/>
      <c r="G21" s="12">
        <v>1</v>
      </c>
      <c r="H21" s="12" t="s">
        <v>14</v>
      </c>
      <c r="I21" s="13"/>
      <c r="J21" s="13"/>
      <c r="K21" s="104">
        <v>115000</v>
      </c>
      <c r="L21" s="32">
        <f>K21*G21</f>
        <v>115000</v>
      </c>
    </row>
    <row r="22" spans="1:12" ht="48.6" x14ac:dyDescent="0.25">
      <c r="A22" s="43" t="s">
        <v>41</v>
      </c>
      <c r="B22" s="31" t="s">
        <v>42</v>
      </c>
      <c r="C22" s="31" t="s">
        <v>43</v>
      </c>
      <c r="D22" s="45" t="s">
        <v>96</v>
      </c>
      <c r="E22" s="12"/>
      <c r="F22" s="12"/>
      <c r="G22" s="12">
        <v>1</v>
      </c>
      <c r="H22" s="12" t="s">
        <v>14</v>
      </c>
      <c r="I22" s="13"/>
      <c r="J22" s="13"/>
      <c r="K22" s="104">
        <v>28000</v>
      </c>
      <c r="L22" s="32">
        <f>K22*G22</f>
        <v>28000</v>
      </c>
    </row>
    <row r="23" spans="1:12" ht="64.8" x14ac:dyDescent="0.25">
      <c r="A23" s="98" t="s">
        <v>44</v>
      </c>
      <c r="B23" s="31" t="s">
        <v>45</v>
      </c>
      <c r="C23" s="31" t="s">
        <v>46</v>
      </c>
      <c r="D23" s="11"/>
      <c r="E23" s="12"/>
      <c r="F23" s="12"/>
      <c r="G23" s="12">
        <v>1</v>
      </c>
      <c r="H23" s="107" t="s">
        <v>14</v>
      </c>
      <c r="I23" s="13"/>
      <c r="J23" s="13"/>
      <c r="K23" s="108">
        <v>700</v>
      </c>
      <c r="L23" s="32">
        <f>K23*G23</f>
        <v>700</v>
      </c>
    </row>
    <row r="24" spans="1:12" ht="64.8" x14ac:dyDescent="0.25">
      <c r="A24" s="99"/>
      <c r="B24" s="31" t="s">
        <v>48</v>
      </c>
      <c r="C24" s="31" t="s">
        <v>47</v>
      </c>
      <c r="D24" s="11"/>
      <c r="E24" s="12"/>
      <c r="F24" s="12"/>
      <c r="G24" s="12">
        <v>2</v>
      </c>
      <c r="H24" s="107" t="s">
        <v>14</v>
      </c>
      <c r="I24" s="13"/>
      <c r="J24" s="13"/>
      <c r="K24" s="108">
        <v>900</v>
      </c>
      <c r="L24" s="32">
        <f t="shared" ref="L24:L32" si="0">K24*G24</f>
        <v>1800</v>
      </c>
    </row>
    <row r="25" spans="1:12" ht="48.6" x14ac:dyDescent="0.25">
      <c r="A25" s="100"/>
      <c r="B25" s="31" t="s">
        <v>49</v>
      </c>
      <c r="C25" s="31" t="s">
        <v>50</v>
      </c>
      <c r="D25" s="11"/>
      <c r="E25" s="12"/>
      <c r="F25" s="12"/>
      <c r="G25" s="12">
        <v>1</v>
      </c>
      <c r="H25" s="107" t="s">
        <v>14</v>
      </c>
      <c r="I25" s="13"/>
      <c r="J25" s="13"/>
      <c r="K25" s="108">
        <v>1000</v>
      </c>
      <c r="L25" s="32">
        <f t="shared" si="0"/>
        <v>1000</v>
      </c>
    </row>
    <row r="26" spans="1:12" ht="56.4" customHeight="1" x14ac:dyDescent="0.25">
      <c r="A26" s="43" t="s">
        <v>51</v>
      </c>
      <c r="B26" s="31" t="s">
        <v>52</v>
      </c>
      <c r="C26" s="31" t="s">
        <v>52</v>
      </c>
      <c r="D26" s="11"/>
      <c r="E26" s="12"/>
      <c r="F26" s="12"/>
      <c r="G26" s="12">
        <v>1</v>
      </c>
      <c r="H26" s="12" t="s">
        <v>14</v>
      </c>
      <c r="I26" s="13"/>
      <c r="J26" s="13"/>
      <c r="K26" s="108">
        <v>1000</v>
      </c>
      <c r="L26" s="32">
        <f t="shared" si="0"/>
        <v>1000</v>
      </c>
    </row>
    <row r="27" spans="1:12" ht="64.8" x14ac:dyDescent="0.25">
      <c r="A27" s="43" t="s">
        <v>53</v>
      </c>
      <c r="B27" s="31" t="s">
        <v>57</v>
      </c>
      <c r="C27" s="31" t="s">
        <v>54</v>
      </c>
      <c r="D27" s="31"/>
      <c r="E27" s="12"/>
      <c r="F27" s="12"/>
      <c r="G27" s="12">
        <v>4</v>
      </c>
      <c r="H27" s="12" t="s">
        <v>14</v>
      </c>
      <c r="I27" s="13"/>
      <c r="J27" s="13"/>
      <c r="K27" s="112">
        <v>1750</v>
      </c>
      <c r="L27" s="32">
        <f t="shared" si="0"/>
        <v>7000</v>
      </c>
    </row>
    <row r="28" spans="1:12" ht="58.8" customHeight="1" x14ac:dyDescent="0.25">
      <c r="A28" s="99" t="s">
        <v>55</v>
      </c>
      <c r="B28" s="31" t="s">
        <v>56</v>
      </c>
      <c r="C28" s="31" t="s">
        <v>106</v>
      </c>
      <c r="D28" s="31"/>
      <c r="E28" s="12"/>
      <c r="F28" s="12"/>
      <c r="G28" s="12">
        <v>3</v>
      </c>
      <c r="H28" s="111" t="s">
        <v>14</v>
      </c>
      <c r="I28" s="13"/>
      <c r="J28" s="13"/>
      <c r="K28" s="112">
        <v>800</v>
      </c>
      <c r="L28" s="32">
        <f t="shared" si="0"/>
        <v>2400</v>
      </c>
    </row>
    <row r="29" spans="1:12" ht="56.4" hidden="1" customHeight="1" x14ac:dyDescent="0.25">
      <c r="A29" s="99"/>
      <c r="B29" s="31" t="s">
        <v>58</v>
      </c>
      <c r="C29" s="31" t="s">
        <v>62</v>
      </c>
      <c r="D29" s="31"/>
      <c r="E29" s="12"/>
      <c r="F29" s="12"/>
      <c r="G29" s="12"/>
      <c r="H29" s="111" t="s">
        <v>14</v>
      </c>
      <c r="I29" s="13"/>
      <c r="J29" s="13"/>
      <c r="K29" s="112">
        <v>710</v>
      </c>
      <c r="L29" s="32">
        <f t="shared" si="0"/>
        <v>0</v>
      </c>
    </row>
    <row r="30" spans="1:12" ht="64.8" hidden="1" customHeight="1" x14ac:dyDescent="0.25">
      <c r="A30" s="99"/>
      <c r="B30" s="31" t="s">
        <v>59</v>
      </c>
      <c r="C30" s="31" t="s">
        <v>60</v>
      </c>
      <c r="D30" s="31"/>
      <c r="E30" s="12"/>
      <c r="F30" s="12"/>
      <c r="G30" s="12"/>
      <c r="H30" s="111" t="s">
        <v>14</v>
      </c>
      <c r="I30" s="13"/>
      <c r="J30" s="13"/>
      <c r="K30" s="112">
        <v>710</v>
      </c>
      <c r="L30" s="32">
        <f t="shared" si="0"/>
        <v>0</v>
      </c>
    </row>
    <row r="31" spans="1:12" ht="243" hidden="1" customHeight="1" x14ac:dyDescent="0.25">
      <c r="A31" s="99"/>
      <c r="B31" s="31" t="s">
        <v>61</v>
      </c>
      <c r="C31" s="31" t="s">
        <v>63</v>
      </c>
      <c r="D31" s="31"/>
      <c r="E31" s="12"/>
      <c r="F31" s="12"/>
      <c r="G31" s="12"/>
      <c r="H31" s="111" t="s">
        <v>14</v>
      </c>
      <c r="I31" s="13"/>
      <c r="J31" s="13"/>
      <c r="K31" s="112">
        <v>710</v>
      </c>
      <c r="L31" s="32">
        <f t="shared" si="0"/>
        <v>0</v>
      </c>
    </row>
    <row r="32" spans="1:12" ht="37.799999999999997" customHeight="1" x14ac:dyDescent="0.25">
      <c r="A32" s="100"/>
      <c r="B32" s="31" t="s">
        <v>107</v>
      </c>
      <c r="C32" s="31" t="s">
        <v>97</v>
      </c>
      <c r="D32" s="31"/>
      <c r="E32" s="12"/>
      <c r="F32" s="12"/>
      <c r="G32" s="12">
        <v>2</v>
      </c>
      <c r="H32" s="111" t="s">
        <v>14</v>
      </c>
      <c r="I32" s="13"/>
      <c r="J32" s="13"/>
      <c r="K32" s="112">
        <v>800</v>
      </c>
      <c r="L32" s="32">
        <f t="shared" si="0"/>
        <v>1600</v>
      </c>
    </row>
    <row r="33" spans="1:12" ht="32.4" x14ac:dyDescent="0.25">
      <c r="A33" s="101" t="s">
        <v>64</v>
      </c>
      <c r="B33" s="31" t="s">
        <v>65</v>
      </c>
      <c r="C33" s="31" t="s">
        <v>91</v>
      </c>
      <c r="D33" s="47"/>
      <c r="E33" s="12"/>
      <c r="F33" s="12"/>
      <c r="G33" s="12"/>
      <c r="H33" s="12"/>
      <c r="I33" s="13"/>
      <c r="J33" s="13"/>
      <c r="K33" s="105">
        <v>5500</v>
      </c>
      <c r="L33" s="105">
        <f>K33</f>
        <v>5500</v>
      </c>
    </row>
    <row r="34" spans="1:12" ht="16.2" x14ac:dyDescent="0.25">
      <c r="A34" s="102"/>
      <c r="B34" s="31" t="s">
        <v>66</v>
      </c>
      <c r="C34" s="31"/>
      <c r="D34" s="31"/>
      <c r="E34" s="12"/>
      <c r="F34" s="12"/>
      <c r="G34" s="12"/>
      <c r="H34" s="12"/>
      <c r="I34" s="13"/>
      <c r="J34" s="13"/>
      <c r="K34" s="106"/>
      <c r="L34" s="106"/>
    </row>
    <row r="35" spans="1:12" ht="16.2" x14ac:dyDescent="0.25">
      <c r="A35" s="103"/>
      <c r="B35" s="31" t="s">
        <v>67</v>
      </c>
      <c r="C35" s="31"/>
      <c r="D35" s="31"/>
      <c r="E35" s="12"/>
      <c r="F35" s="12"/>
      <c r="G35" s="12"/>
      <c r="H35" s="12"/>
      <c r="I35" s="13"/>
      <c r="J35" s="13"/>
      <c r="K35" s="106"/>
      <c r="L35" s="106"/>
    </row>
    <row r="36" spans="1:12" ht="37.799999999999997" customHeight="1" x14ac:dyDescent="0.25">
      <c r="A36" s="40" t="s">
        <v>90</v>
      </c>
      <c r="B36" s="31" t="s">
        <v>98</v>
      </c>
      <c r="C36" s="31"/>
      <c r="D36" s="31"/>
      <c r="E36" s="12"/>
      <c r="F36" s="12"/>
      <c r="G36" s="12"/>
      <c r="H36" s="12"/>
      <c r="I36" s="13"/>
      <c r="J36" s="13"/>
      <c r="K36" s="109"/>
      <c r="L36" s="109"/>
    </row>
    <row r="37" spans="1:12" ht="31.2" customHeight="1" x14ac:dyDescent="0.25">
      <c r="A37" s="40" t="s">
        <v>68</v>
      </c>
      <c r="B37" s="31" t="s">
        <v>69</v>
      </c>
      <c r="C37" s="31"/>
      <c r="D37" s="31"/>
      <c r="E37" s="12"/>
      <c r="F37" s="12"/>
      <c r="G37" s="12">
        <v>1</v>
      </c>
      <c r="H37" s="12" t="s">
        <v>14</v>
      </c>
      <c r="I37" s="13"/>
      <c r="J37" s="13"/>
      <c r="K37" s="32">
        <v>22000</v>
      </c>
      <c r="L37" s="32">
        <f>K37*G37</f>
        <v>22000</v>
      </c>
    </row>
    <row r="38" spans="1:12" ht="32.4" x14ac:dyDescent="0.25">
      <c r="A38" s="40" t="s">
        <v>70</v>
      </c>
      <c r="B38" s="31" t="s">
        <v>71</v>
      </c>
      <c r="C38" s="31"/>
      <c r="D38" s="45"/>
      <c r="E38" s="12"/>
      <c r="F38" s="12"/>
      <c r="G38" s="12">
        <v>4</v>
      </c>
      <c r="H38" s="12" t="s">
        <v>14</v>
      </c>
      <c r="I38" s="13"/>
      <c r="J38" s="13"/>
      <c r="K38" s="32">
        <v>70000</v>
      </c>
      <c r="L38" s="32">
        <f>K38*1</f>
        <v>70000</v>
      </c>
    </row>
    <row r="39" spans="1:12" ht="6.6" hidden="1" x14ac:dyDescent="0.25">
      <c r="A39" s="40" t="s">
        <v>72</v>
      </c>
      <c r="B39" s="31" t="s">
        <v>73</v>
      </c>
      <c r="C39" s="31"/>
      <c r="D39" s="31"/>
      <c r="E39" s="12"/>
      <c r="F39" s="12"/>
      <c r="G39" s="12"/>
      <c r="H39" s="12"/>
      <c r="I39" s="13"/>
      <c r="J39" s="13"/>
      <c r="K39" s="14"/>
      <c r="L39" s="32">
        <v>60000</v>
      </c>
    </row>
    <row r="40" spans="1:12" ht="64.8" x14ac:dyDescent="0.25">
      <c r="A40" s="40" t="s">
        <v>74</v>
      </c>
      <c r="B40" s="31" t="s">
        <v>75</v>
      </c>
      <c r="C40" s="31" t="s">
        <v>93</v>
      </c>
      <c r="D40" s="45"/>
      <c r="E40" s="12"/>
      <c r="F40" s="12"/>
      <c r="G40" s="12">
        <v>1</v>
      </c>
      <c r="H40" s="12" t="s">
        <v>14</v>
      </c>
      <c r="I40" s="13"/>
      <c r="J40" s="13"/>
      <c r="K40" s="32">
        <v>100000</v>
      </c>
      <c r="L40" s="32">
        <f>K40*G40</f>
        <v>100000</v>
      </c>
    </row>
    <row r="41" spans="1:12" ht="64.8" x14ac:dyDescent="0.25">
      <c r="A41" s="40" t="s">
        <v>76</v>
      </c>
      <c r="B41" s="31" t="s">
        <v>99</v>
      </c>
      <c r="C41" s="31"/>
      <c r="D41" s="45"/>
      <c r="E41" s="12"/>
      <c r="F41" s="12"/>
      <c r="G41" s="12">
        <v>1</v>
      </c>
      <c r="H41" s="12" t="s">
        <v>14</v>
      </c>
      <c r="I41" s="13"/>
      <c r="J41" s="13"/>
      <c r="K41" s="32">
        <v>2000</v>
      </c>
      <c r="L41" s="32">
        <f>K41*G41</f>
        <v>2000</v>
      </c>
    </row>
    <row r="42" spans="1:12" ht="129.6" customHeight="1" x14ac:dyDescent="0.25">
      <c r="A42" s="49" t="s">
        <v>76</v>
      </c>
      <c r="B42" s="50" t="s">
        <v>77</v>
      </c>
      <c r="C42" s="50" t="s">
        <v>78</v>
      </c>
      <c r="D42" s="31"/>
      <c r="E42" s="12"/>
      <c r="F42" s="12"/>
      <c r="G42" s="12"/>
      <c r="H42" s="12"/>
      <c r="I42" s="13"/>
      <c r="J42" s="13"/>
      <c r="K42" s="105">
        <v>20000</v>
      </c>
      <c r="L42" s="105">
        <f>K42*1</f>
        <v>20000</v>
      </c>
    </row>
    <row r="43" spans="1:12" ht="129.6" x14ac:dyDescent="0.25">
      <c r="A43" s="49" t="s">
        <v>79</v>
      </c>
      <c r="B43" s="50" t="s">
        <v>80</v>
      </c>
      <c r="C43" s="50" t="s">
        <v>78</v>
      </c>
      <c r="D43" s="31"/>
      <c r="E43" s="12"/>
      <c r="F43" s="12"/>
      <c r="G43" s="12"/>
      <c r="H43" s="12"/>
      <c r="I43" s="13"/>
      <c r="J43" s="13"/>
      <c r="K43" s="106"/>
      <c r="L43" s="106"/>
    </row>
    <row r="44" spans="1:12" ht="97.2" x14ac:dyDescent="0.25">
      <c r="A44" s="49" t="s">
        <v>82</v>
      </c>
      <c r="B44" s="50" t="s">
        <v>81</v>
      </c>
      <c r="C44" s="50" t="s">
        <v>78</v>
      </c>
      <c r="D44" s="31"/>
      <c r="E44" s="12"/>
      <c r="F44" s="12"/>
      <c r="G44" s="12"/>
      <c r="H44" s="12"/>
      <c r="I44" s="13"/>
      <c r="J44" s="13"/>
      <c r="K44" s="106"/>
      <c r="L44" s="106"/>
    </row>
    <row r="45" spans="1:12" ht="64.8" x14ac:dyDescent="0.25">
      <c r="A45" s="51" t="s">
        <v>83</v>
      </c>
      <c r="B45" s="50" t="s">
        <v>84</v>
      </c>
      <c r="C45" s="50" t="s">
        <v>78</v>
      </c>
      <c r="D45" s="31"/>
      <c r="E45" s="12"/>
      <c r="F45" s="12"/>
      <c r="G45" s="12"/>
      <c r="H45" s="12"/>
      <c r="I45" s="13"/>
      <c r="J45" s="13"/>
      <c r="K45" s="106"/>
      <c r="L45" s="106"/>
    </row>
    <row r="46" spans="1:12" ht="97.2" x14ac:dyDescent="0.25">
      <c r="A46" s="51" t="s">
        <v>85</v>
      </c>
      <c r="B46" s="50" t="s">
        <v>86</v>
      </c>
      <c r="C46" s="50" t="s">
        <v>87</v>
      </c>
      <c r="D46" s="48"/>
      <c r="E46" s="12"/>
      <c r="F46" s="12"/>
      <c r="G46" s="12"/>
      <c r="H46" s="12"/>
      <c r="I46" s="13"/>
      <c r="J46" s="13"/>
      <c r="K46" s="109"/>
      <c r="L46" s="109"/>
    </row>
    <row r="47" spans="1:12" ht="56.4" customHeight="1" x14ac:dyDescent="0.25">
      <c r="A47" s="44" t="s">
        <v>92</v>
      </c>
      <c r="B47" s="31" t="s">
        <v>100</v>
      </c>
      <c r="C47" s="31" t="s">
        <v>108</v>
      </c>
      <c r="D47" s="31"/>
      <c r="E47" s="12"/>
      <c r="F47" s="12"/>
      <c r="G47" s="12">
        <v>2</v>
      </c>
      <c r="H47" s="12" t="s">
        <v>14</v>
      </c>
      <c r="I47" s="13"/>
      <c r="J47" s="32"/>
      <c r="K47" s="32">
        <v>45000</v>
      </c>
      <c r="L47" s="32">
        <f>K47*G47</f>
        <v>90000</v>
      </c>
    </row>
    <row r="48" spans="1:12" ht="56.4" customHeight="1" x14ac:dyDescent="0.25">
      <c r="A48" s="44" t="s">
        <v>88</v>
      </c>
      <c r="B48" s="31" t="s">
        <v>89</v>
      </c>
      <c r="C48" s="31"/>
      <c r="D48" s="31"/>
      <c r="E48" s="12"/>
      <c r="F48" s="33"/>
      <c r="G48" s="33">
        <v>1</v>
      </c>
      <c r="H48" s="12" t="s">
        <v>14</v>
      </c>
      <c r="I48" s="13"/>
      <c r="J48" s="13"/>
      <c r="K48" s="14">
        <v>700</v>
      </c>
      <c r="L48" s="32">
        <f>K48*G48</f>
        <v>700</v>
      </c>
    </row>
    <row r="49" spans="1:14" ht="16.8" thickBot="1" x14ac:dyDescent="0.3">
      <c r="A49" s="35"/>
      <c r="B49" s="35"/>
      <c r="C49" s="35"/>
      <c r="D49" s="36"/>
      <c r="E49" s="36"/>
      <c r="F49" s="36"/>
      <c r="G49" s="36"/>
      <c r="H49" s="36"/>
      <c r="I49" s="8"/>
      <c r="J49" s="9"/>
      <c r="K49" s="10"/>
      <c r="L49" s="10"/>
    </row>
    <row r="50" spans="1:14" ht="37.200000000000003" customHeight="1" thickBot="1" x14ac:dyDescent="0.3">
      <c r="A50" s="35"/>
      <c r="B50" s="35"/>
      <c r="C50" s="35"/>
      <c r="D50" s="36"/>
      <c r="E50" s="36"/>
      <c r="F50" s="36"/>
      <c r="G50" s="36"/>
      <c r="H50" s="36"/>
      <c r="I50" s="37"/>
      <c r="J50" s="9"/>
      <c r="K50" s="18" t="s">
        <v>12</v>
      </c>
      <c r="L50" s="19">
        <f>SUM(L18:L48)</f>
        <v>575200</v>
      </c>
    </row>
    <row r="51" spans="1:14" ht="27.6" customHeight="1" thickBot="1" x14ac:dyDescent="0.3">
      <c r="A51" s="38"/>
      <c r="B51" s="37"/>
      <c r="C51" s="38"/>
      <c r="D51" s="36"/>
      <c r="E51" s="36"/>
      <c r="F51" s="36"/>
      <c r="G51" s="36"/>
      <c r="H51" s="39"/>
      <c r="I51" s="37"/>
      <c r="J51" s="9"/>
      <c r="K51" s="18" t="s">
        <v>11</v>
      </c>
      <c r="L51" s="20">
        <f>L50/53</f>
        <v>10852.830188679245</v>
      </c>
    </row>
    <row r="52" spans="1:14" ht="20.399999999999999" customHeight="1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L52" s="2"/>
    </row>
    <row r="53" spans="1:14" ht="17.25" customHeight="1" x14ac:dyDescent="0.25">
      <c r="A53" s="76" t="s">
        <v>18</v>
      </c>
      <c r="B53" s="79"/>
      <c r="C53" s="79"/>
      <c r="D53" s="79"/>
      <c r="E53" s="79"/>
      <c r="F53" s="79"/>
      <c r="G53" s="79"/>
      <c r="H53" s="79"/>
      <c r="I53" s="79"/>
      <c r="J53" s="80"/>
    </row>
    <row r="54" spans="1:14" s="3" customFormat="1" ht="14.4" thickBot="1" x14ac:dyDescent="0.3">
      <c r="A54" s="77"/>
      <c r="B54" s="81"/>
      <c r="C54" s="81"/>
      <c r="D54" s="81"/>
      <c r="E54" s="81"/>
      <c r="F54" s="81"/>
      <c r="G54" s="81"/>
      <c r="H54" s="81"/>
      <c r="I54" s="81"/>
      <c r="J54" s="82"/>
      <c r="L54" s="1"/>
      <c r="M54" s="1"/>
      <c r="N54" s="1"/>
    </row>
    <row r="55" spans="1:14" s="3" customFormat="1" ht="23.4" x14ac:dyDescent="0.25">
      <c r="A55" s="77"/>
      <c r="B55" s="81"/>
      <c r="C55" s="81"/>
      <c r="D55" s="81"/>
      <c r="E55" s="81"/>
      <c r="F55" s="81"/>
      <c r="G55" s="81"/>
      <c r="H55" s="81"/>
      <c r="I55" s="81"/>
      <c r="J55" s="82"/>
      <c r="L55" s="19">
        <f>L50*1.45</f>
        <v>834040</v>
      </c>
      <c r="M55" s="1"/>
      <c r="N55" s="1"/>
    </row>
    <row r="56" spans="1:14" s="3" customFormat="1" ht="51" customHeight="1" x14ac:dyDescent="0.25">
      <c r="A56" s="77"/>
      <c r="B56" s="81"/>
      <c r="C56" s="81"/>
      <c r="D56" s="81"/>
      <c r="E56" s="81"/>
      <c r="F56" s="81"/>
      <c r="G56" s="81"/>
      <c r="H56" s="81"/>
      <c r="I56" s="81"/>
      <c r="J56" s="82"/>
      <c r="L56" s="1"/>
      <c r="M56" s="1"/>
      <c r="N56" s="1"/>
    </row>
    <row r="57" spans="1:14" s="3" customFormat="1" x14ac:dyDescent="0.25">
      <c r="A57" s="77"/>
      <c r="B57" s="81"/>
      <c r="C57" s="81"/>
      <c r="D57" s="81"/>
      <c r="E57" s="81"/>
      <c r="F57" s="81"/>
      <c r="G57" s="81"/>
      <c r="H57" s="81"/>
      <c r="I57" s="81"/>
      <c r="J57" s="82"/>
      <c r="L57" s="1"/>
      <c r="M57" s="1"/>
      <c r="N57" s="1"/>
    </row>
    <row r="58" spans="1:14" s="3" customFormat="1" ht="14.4" thickBot="1" x14ac:dyDescent="0.3">
      <c r="A58" s="78"/>
      <c r="B58" s="83"/>
      <c r="C58" s="83"/>
      <c r="D58" s="83"/>
      <c r="E58" s="83"/>
      <c r="F58" s="83"/>
      <c r="G58" s="83"/>
      <c r="H58" s="83"/>
      <c r="I58" s="83"/>
      <c r="J58" s="84"/>
      <c r="L58" s="1"/>
      <c r="M58" s="1"/>
      <c r="N58" s="1"/>
    </row>
    <row r="59" spans="1:14" s="3" customFormat="1" ht="21.6" thickBot="1" x14ac:dyDescent="0.4">
      <c r="A59" s="29"/>
      <c r="B59" s="1"/>
      <c r="C59" s="1"/>
      <c r="D59" s="1"/>
      <c r="E59" s="1"/>
      <c r="F59" s="1"/>
      <c r="G59" s="1"/>
      <c r="H59" s="1"/>
      <c r="I59" s="1"/>
      <c r="J59" s="1"/>
      <c r="L59" s="1"/>
      <c r="M59" s="1"/>
      <c r="N59" s="1"/>
    </row>
    <row r="60" spans="1:14" s="3" customFormat="1" ht="13.8" customHeight="1" x14ac:dyDescent="0.25">
      <c r="A60" s="85" t="s">
        <v>19</v>
      </c>
      <c r="B60" s="88" t="s">
        <v>20</v>
      </c>
      <c r="C60" s="88"/>
      <c r="D60" s="88"/>
      <c r="E60" s="88"/>
      <c r="F60" s="88"/>
      <c r="G60" s="88"/>
      <c r="H60" s="88"/>
      <c r="I60" s="88"/>
      <c r="J60" s="89"/>
      <c r="L60" s="1"/>
      <c r="M60" s="1"/>
      <c r="N60" s="1"/>
    </row>
    <row r="61" spans="1:14" s="3" customFormat="1" ht="13.8" customHeight="1" x14ac:dyDescent="0.25">
      <c r="A61" s="86"/>
      <c r="B61" s="90"/>
      <c r="C61" s="90"/>
      <c r="D61" s="90"/>
      <c r="E61" s="90"/>
      <c r="F61" s="90"/>
      <c r="G61" s="90"/>
      <c r="H61" s="90"/>
      <c r="I61" s="90"/>
      <c r="J61" s="91"/>
      <c r="L61" s="1"/>
      <c r="M61" s="1"/>
      <c r="N61" s="1"/>
    </row>
    <row r="62" spans="1:14" s="3" customFormat="1" ht="13.8" customHeight="1" x14ac:dyDescent="0.25">
      <c r="A62" s="86"/>
      <c r="B62" s="90"/>
      <c r="C62" s="90"/>
      <c r="D62" s="90"/>
      <c r="E62" s="90"/>
      <c r="F62" s="90"/>
      <c r="G62" s="90"/>
      <c r="H62" s="90"/>
      <c r="I62" s="90"/>
      <c r="J62" s="91"/>
      <c r="L62" s="1"/>
      <c r="M62" s="1"/>
      <c r="N62" s="1"/>
    </row>
    <row r="63" spans="1:14" s="3" customFormat="1" ht="13.8" customHeight="1" x14ac:dyDescent="0.25">
      <c r="A63" s="86"/>
      <c r="B63" s="90"/>
      <c r="C63" s="90"/>
      <c r="D63" s="90"/>
      <c r="E63" s="90"/>
      <c r="F63" s="90"/>
      <c r="G63" s="90"/>
      <c r="H63" s="90"/>
      <c r="I63" s="90"/>
      <c r="J63" s="91"/>
      <c r="L63" s="1"/>
      <c r="M63" s="1"/>
      <c r="N63" s="1"/>
    </row>
    <row r="64" spans="1:14" s="3" customFormat="1" ht="13.8" customHeight="1" x14ac:dyDescent="0.25">
      <c r="A64" s="86"/>
      <c r="B64" s="90"/>
      <c r="C64" s="90"/>
      <c r="D64" s="90"/>
      <c r="E64" s="90"/>
      <c r="F64" s="90"/>
      <c r="G64" s="90"/>
      <c r="H64" s="90"/>
      <c r="I64" s="90"/>
      <c r="J64" s="91"/>
      <c r="L64" s="1"/>
      <c r="M64" s="1"/>
      <c r="N64" s="1"/>
    </row>
    <row r="65" spans="1:14" s="3" customFormat="1" ht="13.8" customHeight="1" x14ac:dyDescent="0.25">
      <c r="A65" s="86"/>
      <c r="B65" s="90"/>
      <c r="C65" s="90"/>
      <c r="D65" s="90"/>
      <c r="E65" s="90"/>
      <c r="F65" s="90"/>
      <c r="G65" s="90"/>
      <c r="H65" s="90"/>
      <c r="I65" s="90"/>
      <c r="J65" s="91"/>
      <c r="L65" s="1"/>
      <c r="M65" s="1"/>
      <c r="N65" s="1"/>
    </row>
    <row r="66" spans="1:14" s="3" customFormat="1" ht="13.8" customHeight="1" x14ac:dyDescent="0.25">
      <c r="A66" s="86"/>
      <c r="B66" s="90"/>
      <c r="C66" s="90"/>
      <c r="D66" s="90"/>
      <c r="E66" s="90"/>
      <c r="F66" s="90"/>
      <c r="G66" s="90"/>
      <c r="H66" s="90"/>
      <c r="I66" s="90"/>
      <c r="J66" s="91"/>
      <c r="L66" s="1"/>
      <c r="M66" s="1"/>
      <c r="N66" s="1"/>
    </row>
    <row r="67" spans="1:14" s="3" customFormat="1" ht="14.4" customHeight="1" x14ac:dyDescent="0.25">
      <c r="A67" s="86"/>
      <c r="B67" s="90"/>
      <c r="C67" s="90"/>
      <c r="D67" s="90"/>
      <c r="E67" s="90"/>
      <c r="F67" s="90"/>
      <c r="G67" s="90"/>
      <c r="H67" s="90"/>
      <c r="I67" s="90"/>
      <c r="J67" s="91"/>
      <c r="L67" s="1"/>
      <c r="M67" s="1"/>
      <c r="N67" s="1"/>
    </row>
    <row r="68" spans="1:14" s="3" customFormat="1" ht="14.4" customHeight="1" x14ac:dyDescent="0.25">
      <c r="A68" s="86"/>
      <c r="B68" s="90"/>
      <c r="C68" s="90"/>
      <c r="D68" s="90"/>
      <c r="E68" s="90"/>
      <c r="F68" s="90"/>
      <c r="G68" s="90"/>
      <c r="H68" s="90"/>
      <c r="I68" s="90"/>
      <c r="J68" s="91"/>
      <c r="L68" s="1"/>
      <c r="M68" s="1"/>
      <c r="N68" s="1"/>
    </row>
    <row r="69" spans="1:14" s="3" customFormat="1" ht="14.4" customHeight="1" thickBot="1" x14ac:dyDescent="0.3">
      <c r="A69" s="87"/>
      <c r="B69" s="92"/>
      <c r="C69" s="92"/>
      <c r="D69" s="92"/>
      <c r="E69" s="92"/>
      <c r="F69" s="92"/>
      <c r="G69" s="92"/>
      <c r="H69" s="92"/>
      <c r="I69" s="92"/>
      <c r="J69" s="93"/>
      <c r="L69" s="1"/>
      <c r="M69" s="1"/>
      <c r="N69" s="1"/>
    </row>
    <row r="73" spans="1:14" x14ac:dyDescent="0.25">
      <c r="A73" s="110"/>
      <c r="B73" s="110"/>
      <c r="C73" s="110"/>
      <c r="D73" s="110"/>
      <c r="E73" s="110"/>
      <c r="F73" s="110"/>
      <c r="G73" s="110"/>
      <c r="H73" s="110"/>
      <c r="I73" s="110"/>
    </row>
    <row r="74" spans="1:14" x14ac:dyDescent="0.25">
      <c r="A74" s="110"/>
      <c r="B74" s="110"/>
      <c r="C74" s="110"/>
      <c r="D74" s="110"/>
      <c r="E74" s="110"/>
      <c r="F74" s="110"/>
      <c r="G74" s="110"/>
      <c r="H74" s="110"/>
      <c r="I74" s="110"/>
    </row>
    <row r="75" spans="1:14" x14ac:dyDescent="0.25">
      <c r="A75" s="110"/>
      <c r="B75" s="110"/>
      <c r="C75" s="110"/>
      <c r="D75" s="110"/>
      <c r="E75" s="110"/>
      <c r="F75" s="110"/>
      <c r="G75" s="110"/>
      <c r="H75" s="110"/>
      <c r="I75" s="110"/>
    </row>
    <row r="76" spans="1:14" x14ac:dyDescent="0.25">
      <c r="A76" s="110"/>
      <c r="B76" s="110"/>
      <c r="C76" s="110"/>
      <c r="D76" s="110"/>
      <c r="E76" s="110"/>
      <c r="F76" s="110"/>
      <c r="G76" s="110"/>
      <c r="H76" s="110"/>
      <c r="I76" s="110"/>
    </row>
    <row r="77" spans="1:14" x14ac:dyDescent="0.25">
      <c r="A77" s="110"/>
      <c r="B77" s="110"/>
      <c r="C77" s="110"/>
      <c r="D77" s="110"/>
      <c r="E77" s="110"/>
      <c r="F77" s="110"/>
      <c r="G77" s="110"/>
      <c r="H77" s="110"/>
      <c r="I77" s="110"/>
    </row>
    <row r="78" spans="1:14" x14ac:dyDescent="0.25">
      <c r="A78" s="110"/>
      <c r="B78" s="110"/>
      <c r="C78" s="110"/>
      <c r="D78" s="110"/>
      <c r="E78" s="110"/>
      <c r="F78" s="110"/>
      <c r="G78" s="110"/>
      <c r="H78" s="110"/>
      <c r="I78" s="110"/>
    </row>
    <row r="79" spans="1:14" x14ac:dyDescent="0.25">
      <c r="A79" s="110"/>
      <c r="B79" s="110"/>
      <c r="C79" s="110"/>
      <c r="D79" s="110"/>
      <c r="E79" s="110"/>
      <c r="F79" s="110"/>
      <c r="G79" s="110"/>
      <c r="H79" s="110"/>
      <c r="I79" s="110"/>
    </row>
    <row r="80" spans="1:14" x14ac:dyDescent="0.25">
      <c r="A80" s="110"/>
      <c r="B80" s="110"/>
      <c r="C80" s="110"/>
      <c r="D80" s="110"/>
      <c r="E80" s="110"/>
      <c r="F80" s="110"/>
      <c r="G80" s="110"/>
      <c r="H80" s="110"/>
      <c r="I80" s="110"/>
    </row>
    <row r="81" spans="1:9" x14ac:dyDescent="0.25">
      <c r="A81" s="110"/>
      <c r="B81" s="110"/>
      <c r="C81" s="110"/>
      <c r="D81" s="110"/>
      <c r="E81" s="110"/>
      <c r="F81" s="110"/>
      <c r="G81" s="110"/>
      <c r="H81" s="110"/>
      <c r="I81" s="110"/>
    </row>
    <row r="82" spans="1:9" x14ac:dyDescent="0.25">
      <c r="A82" s="110"/>
      <c r="B82" s="110"/>
      <c r="C82" s="110"/>
      <c r="D82" s="110"/>
      <c r="E82" s="110"/>
      <c r="F82" s="110"/>
      <c r="G82" s="110"/>
      <c r="H82" s="110"/>
      <c r="I82" s="110"/>
    </row>
    <row r="83" spans="1:9" x14ac:dyDescent="0.25">
      <c r="A83" s="110"/>
      <c r="B83" s="110"/>
      <c r="C83" s="110"/>
      <c r="D83" s="110"/>
      <c r="E83" s="110"/>
      <c r="F83" s="110"/>
      <c r="G83" s="110"/>
      <c r="H83" s="110"/>
      <c r="I83" s="110"/>
    </row>
    <row r="84" spans="1:9" x14ac:dyDescent="0.25">
      <c r="A84" s="110"/>
      <c r="B84" s="110"/>
      <c r="C84" s="110"/>
      <c r="D84" s="110"/>
      <c r="E84" s="110"/>
      <c r="F84" s="110"/>
      <c r="G84" s="110"/>
      <c r="H84" s="110"/>
      <c r="I84" s="110"/>
    </row>
    <row r="85" spans="1:9" x14ac:dyDescent="0.25">
      <c r="A85" s="110"/>
      <c r="B85" s="110"/>
      <c r="C85" s="110"/>
      <c r="D85" s="110"/>
      <c r="E85" s="110"/>
      <c r="F85" s="110"/>
      <c r="G85" s="110"/>
      <c r="H85" s="110"/>
      <c r="I85" s="110"/>
    </row>
    <row r="86" spans="1:9" x14ac:dyDescent="0.25">
      <c r="A86" s="110"/>
      <c r="B86" s="110"/>
      <c r="C86" s="110"/>
      <c r="D86" s="110"/>
      <c r="E86" s="110"/>
      <c r="F86" s="110"/>
      <c r="G86" s="110"/>
      <c r="H86" s="110"/>
      <c r="I86" s="110"/>
    </row>
    <row r="87" spans="1:9" x14ac:dyDescent="0.25">
      <c r="A87" s="110"/>
      <c r="B87" s="110"/>
      <c r="C87" s="110"/>
      <c r="D87" s="110"/>
      <c r="E87" s="110"/>
      <c r="F87" s="110"/>
      <c r="G87" s="110"/>
      <c r="H87" s="110"/>
      <c r="I87" s="110"/>
    </row>
    <row r="88" spans="1:9" x14ac:dyDescent="0.25">
      <c r="A88" s="110"/>
      <c r="B88" s="110"/>
      <c r="C88" s="110"/>
      <c r="D88" s="110"/>
      <c r="E88" s="110"/>
      <c r="F88" s="110"/>
      <c r="G88" s="110"/>
      <c r="H88" s="110"/>
      <c r="I88" s="110"/>
    </row>
    <row r="89" spans="1:9" x14ac:dyDescent="0.25">
      <c r="A89" s="110"/>
      <c r="B89" s="110"/>
      <c r="C89" s="110"/>
      <c r="D89" s="110"/>
      <c r="E89" s="110"/>
      <c r="F89" s="110"/>
      <c r="G89" s="110"/>
      <c r="H89" s="110"/>
      <c r="I89" s="110"/>
    </row>
  </sheetData>
  <dataConsolidate/>
  <mergeCells count="32">
    <mergeCell ref="K33:K36"/>
    <mergeCell ref="L33:L36"/>
    <mergeCell ref="K42:K46"/>
    <mergeCell ref="L42:L46"/>
    <mergeCell ref="A53:A58"/>
    <mergeCell ref="B53:J58"/>
    <mergeCell ref="A60:A69"/>
    <mergeCell ref="B60:J69"/>
    <mergeCell ref="A15:B15"/>
    <mergeCell ref="C15:H15"/>
    <mergeCell ref="A23:A25"/>
    <mergeCell ref="A28:A32"/>
    <mergeCell ref="A33:A35"/>
    <mergeCell ref="A12:B12"/>
    <mergeCell ref="C12:H12"/>
    <mergeCell ref="A13:B13"/>
    <mergeCell ref="C13:H13"/>
    <mergeCell ref="A14:B14"/>
    <mergeCell ref="C14:H14"/>
    <mergeCell ref="A9:B9"/>
    <mergeCell ref="C9:H9"/>
    <mergeCell ref="A10:B10"/>
    <mergeCell ref="C10:H10"/>
    <mergeCell ref="A11:B11"/>
    <mergeCell ref="C11:H11"/>
    <mergeCell ref="A8:B8"/>
    <mergeCell ref="C8:H8"/>
    <mergeCell ref="C2:K4"/>
    <mergeCell ref="A6:B6"/>
    <mergeCell ref="C6:H6"/>
    <mergeCell ref="A7:B7"/>
    <mergeCell ref="C7:H7"/>
  </mergeCells>
  <dataValidations disablePrompts="1" count="4">
    <dataValidation type="list" allowBlank="1" showInputMessage="1" showErrorMessage="1" sqref="C8:H8" xr:uid="{4E88BB09-3338-4D90-90EF-E9E409F8E02E}">
      <formula1>"Teklif,Yaklaşık Bedel"</formula1>
    </dataValidation>
    <dataValidation type="custom" allowBlank="1" showInputMessage="1" showErrorMessage="1" sqref="J10:K12" xr:uid="{50EA0F89-BE9C-40A1-9349-EF8F3107374A}">
      <formula1>J10(TRUE,FALSE)</formula1>
    </dataValidation>
    <dataValidation type="list" allowBlank="1" showInputMessage="1" showErrorMessage="1" sqref="C10:H10" xr:uid="{F8189EA8-ADC7-4DB8-B765-0EC89B21F67E}">
      <formula1>"Yurtiçi,Yurtdışı"</formula1>
    </dataValidation>
    <dataValidation type="list" allowBlank="1" showInputMessage="1" showErrorMessage="1" sqref="C9:H9" xr:uid="{ED0AD32E-3C2B-4421-8213-1394BD3AAF0F}">
      <formula1>"Retech,SVC"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Muğla Atlas</vt:lpstr>
      <vt:lpstr>'Muğla Atlas'!Yazdırma_Alanı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Yeliz Cosar</cp:lastModifiedBy>
  <cp:lastPrinted>2026-03-30T09:19:49Z</cp:lastPrinted>
  <dcterms:created xsi:type="dcterms:W3CDTF">2026-03-25T06:09:07Z</dcterms:created>
  <dcterms:modified xsi:type="dcterms:W3CDTF">2026-05-21T12:07:50Z</dcterms:modified>
</cp:coreProperties>
</file>