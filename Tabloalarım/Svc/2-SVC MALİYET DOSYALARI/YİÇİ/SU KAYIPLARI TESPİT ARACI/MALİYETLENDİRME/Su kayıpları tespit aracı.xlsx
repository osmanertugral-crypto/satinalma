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2-SVC MALİYET DOSYALARI\YİÇİ\SU KAYIPLARI TESPİT ARACI\MALİYETLENDİRME\"/>
    </mc:Choice>
  </mc:AlternateContent>
  <xr:revisionPtr revIDLastSave="0" documentId="13_ncr:1_{A2762B44-A77C-4087-BC56-135DC5AF9751}" xr6:coauthVersionLast="47" xr6:coauthVersionMax="47" xr10:uidLastSave="{00000000-0000-0000-0000-000000000000}"/>
  <bookViews>
    <workbookView xWindow="-108" yWindow="-108" windowWidth="23256" windowHeight="12456" xr2:uid="{BA95FC1E-CD1B-490F-9A0C-080875F12861}"/>
  </bookViews>
  <sheets>
    <sheet name="Su Kayıpları Tespit Aracı" sheetId="6" r:id="rId1"/>
  </sheets>
  <definedNames>
    <definedName name="_xlnm.Print_Area" localSheetId="0">'Su Kayıpları Tespit Aracı'!$A$1:$L$514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99" i="6" l="1"/>
  <c r="L122" i="6"/>
  <c r="K122" i="6"/>
  <c r="K81" i="6"/>
  <c r="L81" i="6" s="1"/>
  <c r="L21" i="6"/>
  <c r="L32" i="6"/>
  <c r="L19" i="6"/>
  <c r="L18" i="6"/>
  <c r="L424" i="6" l="1"/>
  <c r="L412" i="6"/>
  <c r="L411" i="6"/>
  <c r="L397" i="6"/>
  <c r="L289" i="6"/>
  <c r="L190" i="6"/>
  <c r="L174" i="6"/>
  <c r="L155" i="6"/>
  <c r="L140" i="6"/>
  <c r="K136" i="6"/>
  <c r="L136" i="6" s="1"/>
  <c r="K123" i="6"/>
  <c r="L123" i="6" s="1"/>
  <c r="L68" i="6"/>
  <c r="L67" i="6"/>
  <c r="L66" i="6"/>
  <c r="L60" i="6"/>
  <c r="L59" i="6"/>
  <c r="L58" i="6"/>
  <c r="L50" i="6"/>
  <c r="L40" i="6"/>
  <c r="L41" i="6"/>
  <c r="L42" i="6"/>
  <c r="L43" i="6"/>
  <c r="L44" i="6"/>
  <c r="L45" i="6"/>
  <c r="L46" i="6"/>
  <c r="L47" i="6"/>
  <c r="L48" i="6"/>
  <c r="L49" i="6"/>
  <c r="L38" i="6"/>
  <c r="L39" i="6"/>
  <c r="L36" i="6"/>
  <c r="L37" i="6"/>
  <c r="L35" i="6"/>
  <c r="L27" i="6"/>
  <c r="L28" i="6"/>
  <c r="L29" i="6"/>
  <c r="L30" i="6"/>
  <c r="L31" i="6"/>
  <c r="L33" i="6"/>
  <c r="L34" i="6"/>
  <c r="L26" i="6"/>
  <c r="L25" i="6"/>
  <c r="L24" i="6"/>
  <c r="L20" i="6"/>
  <c r="L22" i="6"/>
  <c r="L23" i="6"/>
  <c r="K190" i="6"/>
  <c r="K283" i="6"/>
  <c r="L283" i="6" s="1"/>
  <c r="K274" i="6"/>
  <c r="L274" i="6" s="1"/>
  <c r="K289" i="6"/>
  <c r="K310" i="6"/>
  <c r="L310" i="6" s="1"/>
  <c r="K465" i="6"/>
  <c r="L465" i="6" s="1"/>
  <c r="K485" i="6"/>
  <c r="L485" i="6" s="1"/>
  <c r="K379" i="6"/>
  <c r="L379" i="6" s="1"/>
  <c r="K362" i="6"/>
  <c r="L362" i="6" s="1"/>
  <c r="K330" i="6"/>
  <c r="L330" i="6" s="1"/>
  <c r="K215" i="6"/>
  <c r="L215" i="6" s="1"/>
  <c r="L495" i="6" l="1"/>
  <c r="L496" i="6" l="1"/>
  <c r="L501" i="6" s="1"/>
</calcChain>
</file>

<file path=xl/sharedStrings.xml><?xml version="1.0" encoding="utf-8"?>
<sst xmlns="http://schemas.openxmlformats.org/spreadsheetml/2006/main" count="681" uniqueCount="619">
  <si>
    <t>Kategori</t>
  </si>
  <si>
    <t>Birim</t>
  </si>
  <si>
    <t>Parça / Ürün Adı</t>
  </si>
  <si>
    <t>Marka</t>
  </si>
  <si>
    <t>Ölçü / Ebat</t>
  </si>
  <si>
    <t>Toplam Fiyat</t>
  </si>
  <si>
    <t>Görsel</t>
  </si>
  <si>
    <t>PROJE</t>
  </si>
  <si>
    <t>ÜSTYAPI</t>
  </si>
  <si>
    <t>RENK</t>
  </si>
  <si>
    <t>Euro</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</si>
  <si>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</si>
  <si>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</si>
  <si>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</si>
  <si>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</si>
  <si>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</si>
  <si>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</si>
  <si>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</si>
  <si>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</si>
  <si>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</si>
  <si>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</si>
  <si>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Satış Departmanı</t>
  </si>
  <si>
    <t>Satın Alma Departmanı</t>
  </si>
  <si>
    <t>Ürün &amp; ARGE Departmanı</t>
  </si>
  <si>
    <t xml:space="preserve">TEKLİF TÜRÜ </t>
  </si>
  <si>
    <t>OLUŞTURULAN TARİH</t>
  </si>
  <si>
    <t>TEKLİF VERİLECEK TARİH</t>
  </si>
  <si>
    <t>Teklif</t>
  </si>
  <si>
    <t>SVC</t>
  </si>
  <si>
    <t>ARAÇ</t>
  </si>
  <si>
    <t>Ürün 
Departmanı Notu</t>
  </si>
  <si>
    <t>Beyaz</t>
  </si>
  <si>
    <t>Aydınlatma</t>
  </si>
  <si>
    <t>Su Kayıpları Tespit Ekipmanları Aracı</t>
  </si>
  <si>
    <t>FIAT Scudo 2.2 Multijet</t>
  </si>
  <si>
    <t>BİRMOT</t>
  </si>
  <si>
    <t>Logo Yazılar</t>
  </si>
  <si>
    <t>İdarece yapım aşamasında belirlenecektir</t>
  </si>
  <si>
    <t>Proje</t>
  </si>
  <si>
    <r>
      <t>1.12.</t>
    </r>
    <r>
      <rPr>
        <sz val="14"/>
        <color theme="1"/>
        <rFont val="Arial"/>
        <family val="2"/>
        <charset val="162"/>
      </rPr>
      <t>Yapılan tüm araç içi revizyonlar projelendirilip ruhsata işlenecektir.</t>
    </r>
  </si>
  <si>
    <t>İşaret</t>
  </si>
  <si>
    <t>İkaz Lambaları</t>
  </si>
  <si>
    <t>Yangın Söndürme Cihazı</t>
  </si>
  <si>
    <t xml:space="preserve">2 Kg </t>
  </si>
  <si>
    <t xml:space="preserve">Monitör ile görülebilecektir. </t>
  </si>
  <si>
    <t>2.2 Güncel yazılıma sahip en az aşağıdaki özelliklere sahip bir yön cihazı olacaktır.
a.Otonom kullanımda minimum 2 saate kadar pil ömrü olacaktır.
b.Yüksek hassasiyetli GPS chip seti olacaktır.
c.Ağırlığı en fazla 200 gr olacaktır.
ç.Dâhili belleği olacaktır. 
 	d.Minimum 5"  ekran boyutu olacaktır.
 	e.Çözünürlüğü minimum 480*272 piksel olacaktır.
 	f.Navigasyon güncel yazılıma sahip olacaktır.
 	g.Navigasyon cihazı ömür boyu ücretsiz güncelleme lisansına sahip olacaktır.
	h.USB port özelliği olacaktır.
	ı.Hız/Limit göstergesi olacaktır.</t>
  </si>
  <si>
    <t>GENEL</t>
  </si>
  <si>
    <t>TOMTOM, GARMIN vb. gibi.</t>
  </si>
  <si>
    <t>Panelvan Donanımı (Ofis ve Atölye)</t>
  </si>
  <si>
    <t>ŞÖFÖR MAHALİ</t>
  </si>
  <si>
    <t>Alet Çantası</t>
  </si>
  <si>
    <t>1.      Tornavidalar (Düz ve yıldız)</t>
  </si>
  <si>
    <t>2.      Pense</t>
  </si>
  <si>
    <t>3.      Ayarlı anahtar</t>
  </si>
  <si>
    <t>4.      Alyan seti</t>
  </si>
  <si>
    <t>5.      Lokma takımları</t>
  </si>
  <si>
    <t>6.      Mini pense</t>
  </si>
  <si>
    <t>7.      Makas</t>
  </si>
  <si>
    <t>8.      İzole bant</t>
  </si>
  <si>
    <t>9.      Su pompası pense</t>
  </si>
  <si>
    <t>10.   Çekiç</t>
  </si>
  <si>
    <t>11.   Ek striptiz aletleri vb.</t>
  </si>
  <si>
    <t>Alet Seti İçeriği (28 Adet)</t>
  </si>
  <si>
    <t>5 ayrı Gözlü bölmeye sahip. 28 adet el aletini içine alabilecek. Çanta kumaş veya eşdeğer aday malzeme ile dayanıklı dikiş ve yapıda üretilecektir</t>
  </si>
  <si>
    <t>12. Kullanım Talimatı ve Alet Listesi.</t>
  </si>
  <si>
    <t>Bilgisayar</t>
  </si>
  <si>
    <t>Kayıt Ünitesi</t>
  </si>
  <si>
    <t>2 TB Hard Disk</t>
  </si>
  <si>
    <t>INVERTÖR</t>
  </si>
  <si>
    <t>INVERTÖR AKÜSÜ</t>
  </si>
  <si>
    <t>WALKIE TALKIE TELSİZ</t>
  </si>
  <si>
    <t>12 km menzili olan, şebekeden ve çakmaklıktan şarj edilebilen, en az 960 tane ara kanal seçimi yapabilen, mikrofon ve kulaklık girişli</t>
  </si>
  <si>
    <t>Kombi tip invertör aküleri 12V en az 200 Ah kapasiteli olmalıdır.</t>
  </si>
  <si>
    <r>
      <t>a.</t>
    </r>
    <r>
      <rPr>
        <sz val="15"/>
        <color theme="1"/>
        <rFont val="Arial"/>
        <family val="2"/>
        <charset val="162"/>
      </rPr>
      <t xml:space="preserve"> Teker çapı minimum 31.8 cm olacaktır.</t>
    </r>
  </si>
  <si>
    <r>
      <t xml:space="preserve">a. </t>
    </r>
    <r>
      <rPr>
        <sz val="14"/>
        <color theme="1"/>
        <rFont val="Arial"/>
        <family val="2"/>
        <charset val="162"/>
      </rPr>
      <t>İşlemci Teknolojisi Intel N100, İşlemci Hızı 2.0 GHz (temel frekans) olacaktır.</t>
    </r>
  </si>
  <si>
    <r>
      <t xml:space="preserve">b. </t>
    </r>
    <r>
      <rPr>
        <sz val="14"/>
        <color theme="1"/>
        <rFont val="Arial"/>
        <family val="2"/>
        <charset val="162"/>
      </rPr>
      <t>İşlemci Ön Bellek 6 MB, Hafıza (RAM) Kapasitesi 4 GB, Hafıza (RAM) Tipi DDR4 olacaktır.</t>
    </r>
  </si>
  <si>
    <t>Ölçme Tekeri (Bisikletmetre)</t>
  </si>
  <si>
    <r>
      <t xml:space="preserve">d. </t>
    </r>
    <r>
      <rPr>
        <sz val="14"/>
        <color theme="1"/>
        <rFont val="Arial"/>
        <family val="2"/>
        <charset val="162"/>
      </rPr>
      <t>Ekran kartı Intel UHD Graphics (dahili, paylaşımlı grafik birimi) olacaktır.</t>
    </r>
  </si>
  <si>
    <r>
      <t>e. </t>
    </r>
    <r>
      <rPr>
        <sz val="14"/>
        <color theme="1"/>
        <rFont val="Arial"/>
        <family val="2"/>
        <charset val="162"/>
      </rPr>
      <t>Ekran boyu minimum 15.6" (inch), minimum çözünürlük 1920 x 1080 (Full HD) olacaktır.</t>
    </r>
  </si>
  <si>
    <r>
      <t>f. </t>
    </r>
    <r>
      <rPr>
        <sz val="14"/>
        <color theme="1"/>
        <rFont val="Arial"/>
        <family val="2"/>
        <charset val="162"/>
      </rPr>
      <t>Mobil Özellikleri Bluetooth, Wireless (Wi-Fi), Kamera olacaktır. İşletim Sistemi Windows 11 Türkçe olacaktır.</t>
    </r>
  </si>
  <si>
    <r>
      <t>g. </t>
    </r>
    <r>
      <rPr>
        <sz val="14"/>
        <color theme="1"/>
        <rFont val="Arial"/>
        <family val="2"/>
        <charset val="162"/>
      </rPr>
      <t xml:space="preserve">USB 3.2 (USB 3.0 uyumlu) portu olacaktır. </t>
    </r>
  </si>
  <si>
    <r>
      <t xml:space="preserve">c. </t>
    </r>
    <r>
      <rPr>
        <sz val="14"/>
        <color theme="1"/>
        <rFont val="Arial"/>
        <family val="2"/>
        <charset val="162"/>
      </rPr>
      <t>3200 MHz veri yolu hızı olacaktır. Sabit disk kapasitesi minimum 128 GB SSD olacaktır.</t>
    </r>
  </si>
  <si>
    <r>
      <t xml:space="preserve">a. </t>
    </r>
    <r>
      <rPr>
        <sz val="15"/>
        <color theme="1"/>
        <rFont val="Arial"/>
        <family val="2"/>
        <charset val="162"/>
      </rPr>
      <t>İnvertör gücü sürekli 3000 VA ve kısa süreli gücü 6000 VA den küçük olmayacak ve 12V akü grubu ile çalışacaktır.</t>
    </r>
  </si>
  <si>
    <r>
      <t xml:space="preserve">b. </t>
    </r>
    <r>
      <rPr>
        <sz val="15"/>
        <color theme="1"/>
        <rFont val="Arial"/>
        <family val="2"/>
        <charset val="162"/>
      </rPr>
      <t>Giriş 12 VDC çıkış 230 V 50 Hz AC ve pür sinüzoidal dalgalı olacaktır.</t>
    </r>
  </si>
  <si>
    <r>
      <t>c. </t>
    </r>
    <r>
      <rPr>
        <sz val="15"/>
        <color theme="1"/>
        <rFont val="Arial"/>
        <family val="2"/>
        <charset val="162"/>
      </rPr>
      <t>Transfer gücü en az 15 Amp ve akü şarj kapasitesi en az  110 amp olacaktır.</t>
    </r>
  </si>
  <si>
    <t>TESPİT EKİPMANLARI</t>
  </si>
  <si>
    <t xml:space="preserve">LCD ekranında kaçak seslerini ayrı, yabancı sesleri ayrı olarak gösterece, Ekran üzerinde 2 adet bar graifk olacak. Bir grafik su kaçaklarında bir grafik ise dış seslerde artıp azalacaktır. Portatif olacak. Tüm aksesuarları içine alacak taşama çantası olacak. Boyun askılığı ve kemere takmak için tutacağı olacak. En az IP 65 olmalı. Sistem tamamen kablosuz olacak. çevresel ve yabancı gürültü bastırma/azaltma/kesme özelliğine sahip olacaktır. Tüm cihaz çanta içerisinde şarj edilebilir olacak. </t>
  </si>
  <si>
    <t xml:space="preserve">KABLOSUZ AKUSTİK SU KAÇAK TESPİT DEDEKTÖRÜ </t>
  </si>
  <si>
    <r>
      <t>d. </t>
    </r>
    <r>
      <rPr>
        <sz val="15"/>
        <color theme="1"/>
        <rFont val="Arial"/>
        <family val="2"/>
        <charset val="162"/>
      </rPr>
      <t>Randımanı % 92 den az olmamalı çıkış değerlerindeki hata gerilim için  artı eksi % 2 olacaktır.</t>
    </r>
  </si>
  <si>
    <r>
      <t>e. </t>
    </r>
    <r>
      <rPr>
        <sz val="15"/>
        <color theme="1"/>
        <rFont val="Arial"/>
        <family val="2"/>
        <charset val="162"/>
      </rPr>
      <t>Akü şarj sistemi doldurma, doyurma, yüzdürme etapları olarak otomatik 3 ayaklı olacaktır.</t>
    </r>
  </si>
  <si>
    <r>
      <t>f.  </t>
    </r>
    <r>
      <rPr>
        <sz val="15"/>
        <color theme="1"/>
        <rFont val="Arial"/>
        <family val="2"/>
        <charset val="162"/>
      </rPr>
      <t>Cihaz üzerinde ON/OFF anahtarı ile arıza cinsini ve şarj durumunu gösteren sinyal lambaları olacaktır.</t>
    </r>
  </si>
  <si>
    <r>
      <rPr>
        <b/>
        <sz val="15"/>
        <color theme="1"/>
        <rFont val="Arial"/>
        <family val="2"/>
        <charset val="162"/>
      </rPr>
      <t>b.</t>
    </r>
    <r>
      <rPr>
        <sz val="15"/>
        <color theme="1"/>
        <rFont val="Arial"/>
        <family val="2"/>
        <charset val="162"/>
      </rPr>
      <t xml:space="preserve"> Sayaç sınırı 9999.99 m olacaktır.</t>
    </r>
  </si>
  <si>
    <r>
      <t>ç.</t>
    </r>
    <r>
      <rPr>
        <sz val="15"/>
        <color theme="1"/>
        <rFont val="Arial"/>
        <family val="2"/>
        <charset val="162"/>
      </rPr>
      <t>Tekerlek çevresi 1 m olacaktır.</t>
    </r>
  </si>
  <si>
    <r>
      <rPr>
        <b/>
        <sz val="15"/>
        <color theme="1"/>
        <rFont val="Arial"/>
        <family val="2"/>
        <charset val="162"/>
      </rPr>
      <t>d.</t>
    </r>
    <r>
      <rPr>
        <sz val="15"/>
        <color theme="1"/>
        <rFont val="Arial"/>
        <family val="2"/>
        <charset val="162"/>
      </rPr>
      <t>Pil tipi 2x AAA olacaktır.</t>
    </r>
  </si>
  <si>
    <r>
      <t>e.</t>
    </r>
    <r>
      <rPr>
        <sz val="15"/>
        <color theme="1"/>
        <rFont val="Arial"/>
        <family val="2"/>
        <charset val="162"/>
      </rPr>
      <t>Gövde malzemesi alüminyum olacaktır.</t>
    </r>
  </si>
  <si>
    <r>
      <t>g.</t>
    </r>
    <r>
      <rPr>
        <sz val="15"/>
        <color theme="1"/>
        <rFont val="Arial"/>
        <family val="2"/>
        <charset val="162"/>
      </rPr>
      <t>Dijital sayacı olacaktır.</t>
    </r>
  </si>
  <si>
    <r>
      <rPr>
        <b/>
        <sz val="15"/>
        <color theme="1"/>
        <rFont val="Arial"/>
        <family val="2"/>
        <charset val="162"/>
      </rPr>
      <t>h.</t>
    </r>
    <r>
      <rPr>
        <sz val="15"/>
        <color theme="1"/>
        <rFont val="Arial"/>
        <family val="2"/>
        <charset val="162"/>
      </rPr>
      <t>Ergonomik tutamak ve ışıklı dijital ekran ile kolay ölçüm sağlayacaktır.</t>
    </r>
  </si>
  <si>
    <r>
      <t>ı.</t>
    </r>
    <r>
      <rPr>
        <sz val="15"/>
        <color theme="1"/>
        <rFont val="Arial"/>
        <family val="2"/>
        <charset val="162"/>
      </rPr>
      <t>Ekran aydınlatması olacaktır.</t>
    </r>
  </si>
  <si>
    <r>
      <t>i.</t>
    </r>
    <r>
      <rPr>
        <sz val="15"/>
        <color theme="1"/>
        <rFont val="Arial"/>
        <family val="2"/>
        <charset val="162"/>
      </rPr>
      <t>Minimum 4 hafızası olacaktır.</t>
    </r>
  </si>
  <si>
    <r>
      <t>f.</t>
    </r>
    <r>
      <rPr>
        <sz val="15"/>
        <color theme="1"/>
        <rFont val="Arial"/>
        <family val="2"/>
        <charset val="162"/>
      </rPr>
      <t>Tekerlek kolu ABS malzemeden imal edilecektir.</t>
    </r>
  </si>
  <si>
    <r>
      <t>j.</t>
    </r>
    <r>
      <rPr>
        <sz val="15"/>
        <color theme="1"/>
        <rFont val="Arial"/>
        <family val="2"/>
        <charset val="162"/>
      </rPr>
      <t>Tekerlek sayısı 1 adet olacaktır.</t>
    </r>
  </si>
  <si>
    <r>
      <rPr>
        <b/>
        <sz val="15"/>
        <color theme="1"/>
        <rFont val="Arial"/>
        <family val="2"/>
        <charset val="162"/>
      </rPr>
      <t>k.</t>
    </r>
    <r>
      <rPr>
        <sz val="15"/>
        <color theme="1"/>
        <rFont val="Arial"/>
        <family val="2"/>
        <charset val="162"/>
      </rPr>
      <t>Toplam ağırlığı 2 kg olacaktır.</t>
    </r>
  </si>
  <si>
    <r>
      <t>l.</t>
    </r>
    <r>
      <rPr>
        <sz val="15"/>
        <color theme="1"/>
        <rFont val="Arial"/>
        <family val="2"/>
        <charset val="162"/>
      </rPr>
      <t>Teleskopik kol sayesinde kullanıcıya göre ayarlama imkânı sağlayacaktır.</t>
    </r>
  </si>
  <si>
    <r>
      <t xml:space="preserve">4.1. </t>
    </r>
    <r>
      <rPr>
        <sz val="14"/>
        <color theme="1"/>
        <rFont val="Times New Roman"/>
        <family val="1"/>
        <charset val="162"/>
      </rPr>
      <t>Ünite en fazla 200 mm x 95 mm x 45 mm ölçülerinde olacaktır.</t>
    </r>
  </si>
  <si>
    <r>
      <t>4.2.</t>
    </r>
    <r>
      <rPr>
        <sz val="14"/>
        <color theme="1"/>
        <rFont val="Times New Roman"/>
        <family val="1"/>
        <charset val="162"/>
      </rPr>
      <t xml:space="preserve"> Kontrol ünitesi en az 4,3” LCD, renkli ve dokunmatik ekran olacaktır. LCD göstergeli ekran gece çalışmaları için ekran ışıklandırmalı olacaktır.</t>
    </r>
  </si>
  <si>
    <r>
      <t xml:space="preserve">4.3. </t>
    </r>
    <r>
      <rPr>
        <sz val="14"/>
        <color theme="1"/>
        <rFont val="Times New Roman"/>
        <family val="1"/>
        <charset val="162"/>
      </rPr>
      <t xml:space="preserve">Analiz band genişliği en az 0-4000 Hz arasında olacak ve serbest ayarlanabilir ses filtreleme özelliği sayesinde çevreden ya da arka fondan gelen istenmeyen sesleri bastırarak ayıracaktır. </t>
    </r>
  </si>
  <si>
    <r>
      <t xml:space="preserve">4.4. </t>
    </r>
    <r>
      <rPr>
        <sz val="14"/>
        <color theme="1"/>
        <rFont val="Times New Roman"/>
        <family val="1"/>
        <charset val="162"/>
      </rPr>
      <t>LCD ekranında kaçak seslerini ayrı, yabancı sesleri ayrı grafik şeklinde gösterebilecek çift gösterge fonksiyonuna sahip olacaktır. Bu sayede gürültülü ortamlarda da arama imkânı  sağlayacaktır.</t>
    </r>
  </si>
  <si>
    <r>
      <t xml:space="preserve">4.5. </t>
    </r>
    <r>
      <rPr>
        <sz val="14"/>
        <color theme="1"/>
        <rFont val="Times New Roman"/>
        <family val="1"/>
        <charset val="162"/>
      </rPr>
      <t>Frekans analiz fonksiyonlu ve ses logger fonksiyonuna haiz olacaktır.</t>
    </r>
  </si>
  <si>
    <r>
      <t xml:space="preserve">4.6. </t>
    </r>
    <r>
      <rPr>
        <sz val="14"/>
        <color theme="1"/>
        <rFont val="Times New Roman"/>
        <family val="1"/>
        <charset val="162"/>
      </rPr>
      <t>Ünite üzerindeki açma/kapama, ekran ışığı ve diğer fonksiyonları ayarlamaya yarayan tuşlar su geçirmez tuş yapısına sahip olacaktır.</t>
    </r>
  </si>
  <si>
    <r>
      <t xml:space="preserve">4.7. </t>
    </r>
    <r>
      <rPr>
        <sz val="14"/>
        <color rgb="FF000000"/>
        <rFont val="Times New Roman"/>
        <family val="1"/>
        <charset val="162"/>
      </rPr>
      <t>Ekran tam dolu şarj ile en az 10 saat kesintisiz çalışabilecektir.</t>
    </r>
  </si>
  <si>
    <r>
      <t xml:space="preserve">4.8. </t>
    </r>
    <r>
      <rPr>
        <sz val="14"/>
        <color theme="1"/>
        <rFont val="Times New Roman"/>
        <family val="1"/>
        <charset val="162"/>
      </rPr>
      <t>Kontrol ünitesi en az 3,6 V / 10000 mAh dahili lityum-ion şarj edilebilir bataryaya sahip olacaktır. Şarj ünitesi en az 5 V / 1500 mA olacak ve şarj süresi maksimum 8 saat olacaktır.</t>
    </r>
  </si>
  <si>
    <r>
      <t xml:space="preserve">4.9. </t>
    </r>
    <r>
      <rPr>
        <sz val="14"/>
        <color rgb="FF000000"/>
        <rFont val="Times New Roman"/>
        <family val="1"/>
        <charset val="162"/>
      </rPr>
      <t>Cihaz kaçak seslerini mikro prosesor tekniği sayesinde ses spektrumunun minimum değerin tanıyarak ve filtreleme hesabı yaparak belirleyecek, algılanan seslerin frekans analizini yapabilecek durumda olacak,  en az 9 adet histogram hafızası sayesinde bu sesleri yan yana hafızasına kaydedebilecektir.</t>
    </r>
  </si>
  <si>
    <r>
      <t>4.10.</t>
    </r>
    <r>
      <rPr>
        <sz val="14"/>
        <color rgb="FF000000"/>
        <rFont val="Times New Roman"/>
        <family val="1"/>
        <charset val="162"/>
      </rPr>
      <t xml:space="preserve"> Cihaz algıladığı sesleri seçilebilir en az 3 ayrı zaman diliminde (3dk, 10dk ve 30dk) ekranında grafiksel olarak gösterecektir. Bu özellik sayesinde kullanıcı, abone bağlantısı, dirsek, Te, vb. den kaynaklanan çarpma seslerini, su kaçak sesinden ayırt edebilecektir. Bu tarz yerlerden şüphelenildiğinde, mikrofon ünitesi dinlenilecek yere bırakılarak, cihazın abone bağlantısı kontrol moduna geçilecek, istenilen zaman aralığına ayarlanacak (3, 10 veya 30 dk) ve bu süre zarfında cihaz otomatik olarak dinleme yaparak, gelen sesin çarpma sesi mi yoksa su kaçak sesi mi olduğunu ayırt edebilecektir. Bu özellik sayesinde gereksiz kazılar önlenecektir. </t>
    </r>
  </si>
  <si>
    <r>
      <t xml:space="preserve">4.11. </t>
    </r>
    <r>
      <rPr>
        <sz val="14"/>
        <color rgb="FF000000"/>
        <rFont val="Times New Roman"/>
        <family val="1"/>
        <charset val="162"/>
      </rPr>
      <t>Kontrol ünitesi tamamıyla taşınabilir olacak, ağırlığı en fazla 0,6 kg olacaktır.</t>
    </r>
  </si>
  <si>
    <r>
      <t xml:space="preserve">4.12 </t>
    </r>
    <r>
      <rPr>
        <sz val="14"/>
        <color rgb="FF000000"/>
        <rFont val="Times New Roman"/>
        <family val="1"/>
        <charset val="162"/>
      </rPr>
      <t>En az IP65 koruma sınıfına sahip olacaktır.</t>
    </r>
  </si>
  <si>
    <r>
      <t xml:space="preserve">4.13. </t>
    </r>
    <r>
      <rPr>
        <sz val="14"/>
        <color rgb="FF000000"/>
        <rFont val="Times New Roman"/>
        <family val="1"/>
        <charset val="162"/>
      </rPr>
      <t>Plastik boruların akustik yolla güzergâh tespitine yarayan bir modu olacak, bu sayede bir ikinci cihaz kullanılarak plastik boruların güzergâhı tespit edilebilecektir.</t>
    </r>
  </si>
  <si>
    <r>
      <t xml:space="preserve">4.14. </t>
    </r>
    <r>
      <rPr>
        <sz val="14"/>
        <color rgb="FF000000"/>
        <rFont val="Times New Roman"/>
        <family val="1"/>
        <charset val="162"/>
      </rPr>
      <t>Cihazın içme suyu hatlarında meydana gelen kaçakları, boruya basılan izleme gazının arıza yerinden çıkarak toprağa ulaştığı noktayı tespit etmesine yarayan bir modu olacak, böylece kontrol ünitesine opsiyonel olarak takılabilen bir gaz dedektörü ile kaçak noktası tespit edecektir.</t>
    </r>
  </si>
  <si>
    <r>
      <t xml:space="preserve">4.15. </t>
    </r>
    <r>
      <rPr>
        <sz val="14"/>
        <color rgb="FF000000"/>
        <rFont val="Times New Roman"/>
        <family val="1"/>
        <charset val="162"/>
      </rPr>
      <t>Dijital sinyal işlemcili olacaktır.</t>
    </r>
  </si>
  <si>
    <r>
      <t xml:space="preserve">4.16. </t>
    </r>
    <r>
      <rPr>
        <sz val="14"/>
        <color rgb="FF000000"/>
        <rFont val="Times New Roman"/>
        <family val="1"/>
        <charset val="162"/>
      </rPr>
      <t>İsteğe göre kulaklığa gelen sesin ayarı yapılabilecek özellikte olacaktır.</t>
    </r>
  </si>
  <si>
    <r>
      <t xml:space="preserve">4.17. </t>
    </r>
    <r>
      <rPr>
        <sz val="14"/>
        <color rgb="FF000000"/>
        <rFont val="Times New Roman"/>
        <family val="1"/>
        <charset val="162"/>
      </rPr>
      <t>Çalışma sıcaklığı en az -20˚C ile +60˚C arasında depolama sıcaklığı ise en az -25˚C  ile + 70˚ C arasında olacaktır.</t>
    </r>
  </si>
  <si>
    <t>Sewerin Aquaphon A200, Fast Aqua M300 ve ya muadil ürün</t>
  </si>
  <si>
    <t>Nedo Digital
Bosch GWM 32 Professional
CST/Berger DigiRoller Plus III
Stanley FatMax Digital Measuring Wheel
Keson MP401D
Lufkin MW30ME
Hultafors TR 1000 Digital</t>
  </si>
  <si>
    <t>Sewerin AQUAPHON A200
Fast GmbH AQUA M300
Esders HL 7000
Gutermann AQUASCOPE 550
Primayer Mikron 3</t>
  </si>
  <si>
    <r>
      <t xml:space="preserve">4.18. </t>
    </r>
    <r>
      <rPr>
        <sz val="14"/>
        <color rgb="FF000000"/>
        <rFont val="Times New Roman"/>
        <family val="1"/>
        <charset val="162"/>
      </rPr>
      <t>Geniş aydınlatmalı ekranı olacak, ses değerleri hem analog grafik, hem de dijital sayı olarak görülebilecektir.</t>
    </r>
  </si>
  <si>
    <r>
      <t xml:space="preserve">4.19. </t>
    </r>
    <r>
      <rPr>
        <sz val="14"/>
        <color rgb="FF000000"/>
        <rFont val="Times New Roman"/>
        <family val="1"/>
        <charset val="162"/>
      </rPr>
      <t>0 Hz – 4 kHz frekans aralığında çalışılabilir olacak ve frekans aralığı cihazda belirtilen aralıklarda istenildiği gibi değiştirilebilecektir.</t>
    </r>
  </si>
  <si>
    <r>
      <t>4.20.</t>
    </r>
    <r>
      <rPr>
        <sz val="14"/>
        <color rgb="FF000000"/>
        <rFont val="Times New Roman"/>
        <family val="1"/>
        <charset val="162"/>
      </rPr>
      <t>Kontrol ünitesi ses kayıtları da dâhil olmak üzere en az 100 kayıt alacak kapasiteye sahip olacaktır.</t>
    </r>
  </si>
  <si>
    <r>
      <t>4.21.</t>
    </r>
    <r>
      <rPr>
        <sz val="14"/>
        <color rgb="FF000000"/>
        <rFont val="Times New Roman"/>
        <family val="1"/>
        <charset val="162"/>
      </rPr>
      <t xml:space="preserve">Entegre GPS alıcısına sahip olacak bu sayede kaçak tespiti yapılan noktalar harita üzerinde de işaretlenebilecektir. </t>
    </r>
  </si>
  <si>
    <r>
      <t>4.22.</t>
    </r>
    <r>
      <rPr>
        <sz val="14"/>
        <color rgb="FF000000"/>
        <rFont val="Times New Roman"/>
        <family val="1"/>
        <charset val="162"/>
      </rPr>
      <t xml:space="preserve"> Kontrol ünitesi ile yer mikrofonu ve kulaklık arasında herhangi bir kablo bağlantısı olmayacak, sistem BT sayesinde kablosuz haberleşme özelliğine sahip olacaktır. </t>
    </r>
  </si>
  <si>
    <r>
      <t>4.23.</t>
    </r>
    <r>
      <rPr>
        <sz val="14"/>
        <color rgb="FF000000"/>
        <rFont val="Times New Roman"/>
        <family val="1"/>
        <charset val="162"/>
      </rPr>
      <t xml:space="preserve"> Kontrol ünitesi 2 adet dâhili Bluetooth modulüne sahip olacaktır.</t>
    </r>
  </si>
  <si>
    <r>
      <t>4.24.</t>
    </r>
    <r>
      <rPr>
        <sz val="14"/>
        <color rgb="FF000000"/>
        <rFont val="Times New Roman"/>
        <family val="1"/>
        <charset val="162"/>
      </rPr>
      <t xml:space="preserve"> Kontrol ünitesi boyun askılığı sayesinde boyuna takılarak, klipsleri sayesinde kemere takılarak ve mikrofon taşıma çubuğuna sabitlenerek kullanılabilir özellikte olacaktır. </t>
    </r>
  </si>
  <si>
    <t>Yedek Kulaklık</t>
  </si>
  <si>
    <t>Sewerin AQUAPHON A200 (TS 200 Taşıma Çubuğu ile)
Fast GmbH AQUA M300 (Universal Handle BM ile)
Esders HL 7000 (Mikrophonstab ile)</t>
  </si>
  <si>
    <t>5. Mikrofon Taşıma Çubuğu</t>
  </si>
  <si>
    <r>
      <t>5.1.</t>
    </r>
    <r>
      <rPr>
        <sz val="14"/>
        <color rgb="FF000000"/>
        <rFont val="Arial"/>
        <family val="2"/>
        <charset val="162"/>
      </rPr>
      <t>Mikrofon taşıma çubuğu üzerinde fonksiyonları kontrol ünitesine gerek kalmadan kontrol edebilmek için bir tuş takımı olacaktır.</t>
    </r>
  </si>
  <si>
    <r>
      <t>5.2.</t>
    </r>
    <r>
      <rPr>
        <sz val="14"/>
        <color rgb="FF000000"/>
        <rFont val="Arial"/>
        <family val="2"/>
        <charset val="162"/>
      </rPr>
      <t>Tuş takımı üzerinde açma/kapama, sessiz moda alma, RF etkin/devre dışı, batarya durumunu gösterir 3 LED fonksiyonu bulunacaktır.</t>
    </r>
  </si>
  <si>
    <r>
      <t>5.3.</t>
    </r>
    <r>
      <rPr>
        <sz val="14"/>
        <color rgb="FF000000"/>
        <rFont val="Arial"/>
        <family val="2"/>
        <charset val="162"/>
      </rPr>
      <t>Bluetooth, universal sensör bağlantısı ve şarj soketine sahip olacaktır.</t>
    </r>
  </si>
  <si>
    <r>
      <t>5.4.</t>
    </r>
    <r>
      <rPr>
        <sz val="14"/>
        <color rgb="FF000000"/>
        <rFont val="Arial"/>
        <family val="2"/>
        <charset val="162"/>
      </rPr>
      <t>En az 3.6 V / 3350 mAh dâhili lityum – ion bataryaya sahip olacaktır.</t>
    </r>
  </si>
  <si>
    <r>
      <t xml:space="preserve">5.5. </t>
    </r>
    <r>
      <rPr>
        <sz val="14"/>
        <color rgb="FF000000"/>
        <rFont val="Arial"/>
        <family val="2"/>
        <charset val="162"/>
      </rPr>
      <t>Şarj ünitesi en az 5 V / 450 mA olacak ve şarj süresi en fazla 8 saat olacaktır.</t>
    </r>
  </si>
  <si>
    <r>
      <t>5.6.</t>
    </r>
    <r>
      <rPr>
        <sz val="14"/>
        <color rgb="FF000000"/>
        <rFont val="Arial"/>
        <family val="2"/>
        <charset val="162"/>
      </rPr>
      <t xml:space="preserve"> Taşıma çubuğu ölçüleri en fazla 220 mm x 80 mm x 650 mm olacaktır.</t>
    </r>
  </si>
  <si>
    <r>
      <t>5.7.</t>
    </r>
    <r>
      <rPr>
        <sz val="14"/>
        <color rgb="FF000000"/>
        <rFont val="Arial"/>
        <family val="2"/>
        <charset val="162"/>
      </rPr>
      <t xml:space="preserve">Ağırlığı en fazla 0,7 kg olacaktır. </t>
    </r>
  </si>
  <si>
    <r>
      <t>5.8.</t>
    </r>
    <r>
      <rPr>
        <sz val="14"/>
        <color rgb="FF000000"/>
        <rFont val="Arial"/>
        <family val="2"/>
        <charset val="162"/>
      </rPr>
      <t>Koruma sınıfı en az IP 65 olacaktır.</t>
    </r>
  </si>
  <si>
    <r>
      <t>5.9.</t>
    </r>
    <r>
      <rPr>
        <sz val="14"/>
        <color rgb="FF000000"/>
        <rFont val="Arial"/>
        <family val="2"/>
        <charset val="162"/>
      </rPr>
      <t xml:space="preserve"> Kontrol ünitesinin üzerine sabitlenerek kullanılabileceği yapıda olacaktır</t>
    </r>
  </si>
  <si>
    <t>4. Kontrol Ünitesi</t>
  </si>
  <si>
    <t>6. Yüksek hassasiyetli yer mikrofonu</t>
  </si>
  <si>
    <r>
      <t>6.1.</t>
    </r>
    <r>
      <rPr>
        <sz val="14"/>
        <color rgb="FF000000"/>
        <rFont val="Arial"/>
        <family val="2"/>
        <charset val="162"/>
      </rPr>
      <t xml:space="preserve">Doğrudan yere temasla özellikle katı yüzeylerde ( asfalt, beton, kaldırım) dinleme yapılmasını sağlayan, akustik olarak dışarıdan gürültü (rüzgar, araç vb.) gelmesi engellenecek şekilde dizayn edilmiş yer mikrofonuna sahip olacaktır. </t>
    </r>
  </si>
  <si>
    <r>
      <t xml:space="preserve">6.2. </t>
    </r>
    <r>
      <rPr>
        <sz val="14"/>
        <color rgb="FF000000"/>
        <rFont val="Arial"/>
        <family val="2"/>
        <charset val="162"/>
      </rPr>
      <t xml:space="preserve">Ön yükselticili, piezo elektrik sensörden imal edilmiş olacaktır. </t>
    </r>
  </si>
  <si>
    <r>
      <t>6.3.</t>
    </r>
    <r>
      <rPr>
        <sz val="14"/>
        <color theme="1"/>
        <rFont val="Arial"/>
        <family val="2"/>
        <charset val="162"/>
      </rPr>
      <t xml:space="preserve"> Ölçüleri en fazla Ø 230 mm x 175 mm olacaktır.</t>
    </r>
  </si>
  <si>
    <r>
      <t>6.4.</t>
    </r>
    <r>
      <rPr>
        <b/>
        <sz val="14"/>
        <color theme="1"/>
        <rFont val="Arial"/>
        <family val="2"/>
        <charset val="162"/>
      </rPr>
      <t xml:space="preserve"> </t>
    </r>
    <r>
      <rPr>
        <sz val="14"/>
        <color rgb="FF000000"/>
        <rFont val="Arial"/>
        <family val="2"/>
        <charset val="162"/>
      </rPr>
      <t>Ağırlığı en fazla 2,7 kg olacaktır.</t>
    </r>
  </si>
  <si>
    <r>
      <t>6.5.</t>
    </r>
    <r>
      <rPr>
        <sz val="14"/>
        <color rgb="FF000000"/>
        <rFont val="Arial"/>
        <family val="2"/>
        <charset val="162"/>
      </rPr>
      <t xml:space="preserve"> Koruma sınıfı en az IP 67 olacaktır.</t>
    </r>
  </si>
  <si>
    <r>
      <t>6.6.</t>
    </r>
    <r>
      <rPr>
        <sz val="14"/>
        <color rgb="FF000000"/>
        <rFont val="Arial"/>
        <family val="2"/>
        <charset val="162"/>
      </rPr>
      <t xml:space="preserve"> Mikrofon 360˚ çapındaki sesleri alabilme ve kaydedebilme özelliğine sahip olacaktır. Bu sayede tam olarak boru üzerinde dinleme yapılmasa bile kaçağın sağda ya da solda olması durumunda atlanması engellenecektir.</t>
    </r>
  </si>
  <si>
    <t>Sewerin BM 200 (AQUAPHON A200 ile)
Fast GmbH PAM B-2 (AQUA M300 ile)
Esders PAM W-7 (HL 7000 ile)
Gutermann AQUASCOPE 550 Ground Mic</t>
  </si>
  <si>
    <t>ayrı, yabancı sesleri ayrı olarak gösterecek ve bu sayede gürültülü ortamlarda ve gündüz şartlarında da arama imkanı sağlayacaktır. Ekran üzerinde iki adet bar grafik olacak, bir grafik su kaçaklarında, bir grafik ise dış seslerde artıp azalacaktır.</t>
  </si>
  <si>
    <r>
      <t xml:space="preserve">3.1. </t>
    </r>
    <r>
      <rPr>
        <sz val="14"/>
        <color theme="1"/>
        <rFont val="Arial"/>
        <family val="2"/>
        <charset val="162"/>
      </rPr>
      <t xml:space="preserve"> Kullanıcının yer altı su seslerini işitsel olarak yer üstünden takip etmesini sağlayacak, boru ve ek yerlerinden, yumuşak zeminlerden en yüksek seviyede dinleme performansı ile ses algılama özelliğine sahip olacaktır.</t>
    </r>
  </si>
  <si>
    <r>
      <t xml:space="preserve">3.2. </t>
    </r>
    <r>
      <rPr>
        <sz val="14"/>
        <color theme="1"/>
        <rFont val="Arial"/>
        <family val="2"/>
        <charset val="162"/>
      </rPr>
      <t xml:space="preserve"> Bir kaçak hesaplayıcısı olarak dizayn edilmiş olacak ve LCD ekranında kaçak seslerini </t>
    </r>
  </si>
  <si>
    <r>
      <t xml:space="preserve">3.3. </t>
    </r>
    <r>
      <rPr>
        <sz val="14"/>
        <color theme="1"/>
        <rFont val="Arial"/>
        <family val="2"/>
        <charset val="162"/>
      </rPr>
      <t xml:space="preserve">Hafif ve kolay kullanımlı olacak, saha çalışmalarına uygun standartlarda üretilmiş olacaktır. </t>
    </r>
  </si>
  <si>
    <r>
      <t xml:space="preserve">3.4. </t>
    </r>
    <r>
      <rPr>
        <sz val="14"/>
        <color theme="1"/>
        <rFont val="Arial"/>
        <family val="2"/>
        <charset val="162"/>
      </rPr>
      <t>Tamamen portatif olan sistem tüm aksesuarlarını içine alabilecek taşıma çantası ile birlikte verilecektir.</t>
    </r>
  </si>
  <si>
    <r>
      <t xml:space="preserve">3.5. </t>
    </r>
    <r>
      <rPr>
        <sz val="14"/>
        <color theme="1"/>
        <rFont val="Arial"/>
        <family val="2"/>
        <charset val="162"/>
      </rPr>
      <t xml:space="preserve">Ekranın iyi görünmesini sağlayacak şekilde dizayn edilmiş boyun askılığı olacaktır. </t>
    </r>
  </si>
  <si>
    <r>
      <t xml:space="preserve">3.6. </t>
    </r>
    <r>
      <rPr>
        <sz val="14"/>
        <color theme="1"/>
        <rFont val="Arial"/>
        <family val="2"/>
        <charset val="162"/>
      </rPr>
      <t>Sistemin koruma sınıfı en az IP 65 olacaktır.</t>
    </r>
  </si>
  <si>
    <r>
      <t>3.7.</t>
    </r>
    <r>
      <rPr>
        <sz val="14"/>
        <color theme="1"/>
        <rFont val="Arial"/>
        <family val="2"/>
        <charset val="162"/>
      </rPr>
      <t>Sistem kontol ünitesi ve kulaklık Bluetooth teknolojisi ile, mikrofon ile kontrol ünitesinin bağlantısı kablo ile gerçekleştirilecektir.</t>
    </r>
  </si>
  <si>
    <r>
      <t>3.8.</t>
    </r>
    <r>
      <rPr>
        <sz val="14"/>
        <color theme="1"/>
        <rFont val="Arial"/>
        <family val="2"/>
        <charset val="162"/>
      </rPr>
      <t xml:space="preserve"> Yeni geliştirilen özellikler sayesinde çevresel ve yabancı gürültü bastırma/azaltma/kesme özelliğine sahip olacaktır.</t>
    </r>
  </si>
  <si>
    <r>
      <t xml:space="preserve">3.9. </t>
    </r>
    <r>
      <rPr>
        <sz val="14"/>
        <color theme="1"/>
        <rFont val="Arial"/>
        <family val="2"/>
        <charset val="162"/>
      </rPr>
      <t>Mikrofon ve kontrol ünitesi arasında ki bağlantıyı sağlayacak olan kablonun boyu 2.50 metre olacak olup, kablonun bağlantı uçları ODU connector olacaktır.</t>
    </r>
  </si>
  <si>
    <t>Sewerin AQUAPHON A50 
Sewerin AQUAPHON A150 
Fast GmbH Aqua M100 
Esders HL 5000</t>
  </si>
  <si>
    <r>
      <t xml:space="preserve">6.1. </t>
    </r>
    <r>
      <rPr>
        <sz val="14"/>
        <color rgb="FF000000"/>
        <rFont val="Arial"/>
        <family val="2"/>
        <charset val="162"/>
      </rPr>
      <t>Kulaklık stereo, saha koşullarına dayanıklı ve yüksek ses kaliteli ses iletecek, kablosuz BT teknolojiye sahip olacaktır.</t>
    </r>
  </si>
  <si>
    <r>
      <t xml:space="preserve">6.2. </t>
    </r>
    <r>
      <rPr>
        <sz val="14"/>
        <color rgb="FF000000"/>
        <rFont val="Arial"/>
        <family val="2"/>
        <charset val="162"/>
      </rPr>
      <t xml:space="preserve">Taşıma çantası orijinal, saha koşullarına dayanıklı, içi köpük kaplı olacaktır. Taşıma çantası içerisine sistemin her parçası için ayrı sünger ile bölünmüş yer olacaktır. </t>
    </r>
  </si>
  <si>
    <r>
      <t>6.3.</t>
    </r>
    <r>
      <rPr>
        <sz val="14"/>
        <color rgb="FF000000"/>
        <rFont val="Arial"/>
        <family val="2"/>
        <charset val="162"/>
      </rPr>
      <t xml:space="preserve"> Cihazın bir bilgisayar yazılımı olacak, bu yazılım sayesinde kaçak tespiti yapılan noktalar kayıt altına alınacak, entegre GPS sayesinde noktalar harita üzerinde işaretlenebilecek, ayrıca kaçak sesleri bilgisayar üzerinden de dinlenebilecektir. Kaydedilen verilerin PC ye aktarılabilmesi için ayrıca bir adet USB kablosu da teslim edilecektir. PC yazılımı ücretsiz olarak teslim edilecektir.</t>
    </r>
  </si>
  <si>
    <t xml:space="preserve">3. KABLOLU AKUSTİK SU KAÇAK TESPİT DEDEKTÖRÜ </t>
  </si>
  <si>
    <t>Logger</t>
  </si>
  <si>
    <t>Sewerin Sealog N
Fast GmbH AZ 100
Gutermann ZONESCAN 820
Esders SeCorrPhon AC 200 Logger</t>
  </si>
  <si>
    <r>
      <t>·</t>
    </r>
    <r>
      <rPr>
        <sz val="14"/>
        <color theme="1"/>
        <rFont val="Arial"/>
        <family val="2"/>
        <charset val="162"/>
      </rPr>
      <t> Logger ünitesi kompakt yapıda olacak, paslanmaz malzemeden imal edilmiş dayanıklı bir gövdeye sahip olacaktır. Cihazın yüksekliği en fazla 125 mm, çapı yaklaşık 60 mm olacak ve maksimum 78 mm dış ölçüyü aşmayacaktır.</t>
    </r>
  </si>
  <si>
    <r>
      <t>·</t>
    </r>
    <r>
      <rPr>
        <sz val="14"/>
        <color theme="1"/>
        <rFont val="Arial"/>
        <family val="2"/>
        <charset val="162"/>
      </rPr>
      <t> Toplam ağırlığı yaklaşık 450–460 gram seviyesinde olacak şekilde tasarlanmış olacaktır. Gövde malzemesi paslanmaz çelik ve endüstriyel plastiklerden oluşacak, saha kullanımında darbelere ve çevresel etkilere dayanıklı olacaktır.</t>
    </r>
  </si>
  <si>
    <r>
      <t>·</t>
    </r>
    <r>
      <rPr>
        <sz val="14"/>
        <color theme="1"/>
        <rFont val="Arial"/>
        <family val="2"/>
        <charset val="162"/>
      </rPr>
      <t> Cihaz açma ve kapama işlemi manyetik anahtar ile gerçekleştirilecek, durum bilgisi LED göstergesi üzerinden izlenebilecektir. Dahili halka hafıza yapısına sahip olacak ve ölçüm verilerini güvenli şekilde saklayacaktır. Ayrıca hareket sensörü veya benzeri bir sistem ile hırsızlığa karşı uyarı özelliği bulunacaktır.</t>
    </r>
  </si>
  <si>
    <t>Sensör Ünitesi</t>
  </si>
  <si>
    <t>Sewerin Sealog P-3
Fast GmbH AZ 300
Gutermann ZONESCAN 820 Pressure
Esders SeCorrPhon AC 200 P-Sensor</t>
  </si>
  <si>
    <r>
      <t>Sensör ünitesi tek gövde içerisinde hidrofon akustik ölçümü, basınç ölçümü ve su sıcaklığı ölçümünü birlikte gerçekleştirebilecektir. Basınç ölçüm aralığı en az 0–16 bar olacak ve sensör doğruluğu ±0,9% veya daha iyi olacaktır.</t>
    </r>
    <r>
      <rPr>
        <u/>
        <sz val="14"/>
        <color theme="1"/>
        <rFont val="Arial"/>
        <family val="2"/>
        <charset val="162"/>
      </rPr>
      <t xml:space="preserve"> </t>
    </r>
    <r>
      <rPr>
        <b/>
        <u/>
        <sz val="14"/>
        <color theme="1"/>
        <rFont val="Arial"/>
        <family val="2"/>
        <charset val="162"/>
      </rPr>
      <t>Not:</t>
    </r>
    <r>
      <rPr>
        <b/>
        <sz val="14"/>
        <color theme="1"/>
        <rFont val="Arial"/>
        <family val="2"/>
        <charset val="162"/>
      </rPr>
      <t xml:space="preserve"> Logger ve sensör ayrı markalardan seçilemez; birbirine özel soketlerle bağlıdır ve aynı yazılım üzerinden kontrol edilir.</t>
    </r>
  </si>
  <si>
    <t>MİNİ BASINÇ KAYDEDİCİ EKİPMANLARI</t>
  </si>
  <si>
    <t>4.1. Ölçüm aralığı 0 – 30 bar olacaktır.</t>
  </si>
  <si>
    <t>4.2.Doğruluk en az ±0,5 % FS veya daha hassas olacaktır.</t>
  </si>
  <si>
    <t>4.3. Çözünürlük en az 0,01 bar olacaktır.</t>
  </si>
  <si>
    <t>4.4. Aşırı basınç dayanımı nominal basıncın minimum 2 katı olacaktır.</t>
  </si>
  <si>
    <t>4.5. Koruma sınıfı IP65 olacaktır.</t>
  </si>
  <si>
    <t>4.6. Çalışma sıcaklık aralığı en az -10 °C ile +50 °C arasında olacaktır.</t>
  </si>
  <si>
    <t>4.7. Depolama sıcaklık aralığı en az -20 °C ile +70 °C arasında olacaktır.</t>
  </si>
  <si>
    <t>4.8. Basınç bağlantısı G 1/4” erkek veya idarenin belirleyeceği uygun bağlantı tipinde olacaktır.</t>
  </si>
  <si>
    <t>4.9. Gövde paslanmaz çelik olacaktır.</t>
  </si>
  <si>
    <t>4.10. Ölçüm diyaframı korozyona dayanıklı malzemeden imal edilmiş olacaktır.</t>
  </si>
  <si>
    <t>4.11. Ekran LCD dijital ekran olacaktır.</t>
  </si>
  <si>
    <t>4.12. Min/Max değer hafızası bulunacaktır.</t>
  </si>
  <si>
    <t>4.13. Manuel sıfırlama (zero) özelliği bulunacaktır.</t>
  </si>
  <si>
    <t>4.14. Güç kaynağı pil olacaktır ve pil değişimi kullanıcı tarafından yapılabilir olacaktır.</t>
  </si>
  <si>
    <t>4.15. Otomatik kapanma özelliği bulunacaktır.</t>
  </si>
  <si>
    <t>Dijital Basınç Ölçer (Manometre)</t>
  </si>
  <si>
    <t>Wika CPG500
Keller LEO 1
Keller dV-2
Sika E2
Additel 680
Fluke 700G Serisi (G29 modeli)
Ashcroft DG25
Ametek XP2i</t>
  </si>
  <si>
    <t>Metal Boru ve Kablo Tespit Cihazı</t>
  </si>
  <si>
    <r>
      <t>Gelişmiş Anten ve Tespit Teknolojisi:</t>
    </r>
    <r>
      <rPr>
        <sz val="14"/>
        <color theme="1"/>
        <rFont val="Arial"/>
        <family val="2"/>
        <charset val="162"/>
      </rPr>
      <t xml:space="preserve"> 3D çift anten yapısı sayesinde hat üzerinde olmadan uzaktan (Vektör Modu) yer ve derinlik tespiti yapabilme özelliği.</t>
    </r>
  </si>
  <si>
    <r>
      <t>Geniş Frekans Aralığı:</t>
    </r>
    <r>
      <rPr>
        <sz val="14"/>
        <color theme="1"/>
        <rFont val="Arial"/>
        <family val="2"/>
        <charset val="162"/>
      </rPr>
      <t xml:space="preserve"> Aktif konumda 16 Hz – 200 kHz arası en az 30 frekans; pasif konumda şebeke (50Hz), radyo sinyalleri ve katodik koruma frekanslarını algılama.</t>
    </r>
  </si>
  <si>
    <r>
      <t>Gelişmiş Görsel Analiz Modları:</t>
    </r>
    <r>
      <rPr>
        <sz val="14"/>
        <color theme="1"/>
        <rFont val="Arial"/>
        <family val="2"/>
        <charset val="162"/>
      </rPr>
      <t xml:space="preserve"> Standart bar grafik dışında; Vektör (uzaktan ölçüm), Plan Görünümü (çizgisel takip), Transverse Plot (sinyal kalitesi analizi) ve Sonda modları.</t>
    </r>
  </si>
  <si>
    <r>
      <t>Hata Önleme ve Uyarı Sistemleri:</t>
    </r>
    <r>
      <rPr>
        <sz val="14"/>
        <color theme="1"/>
        <rFont val="Arial"/>
        <family val="2"/>
        <charset val="162"/>
      </rPr>
      <t xml:space="preserve"> Sinyal bozulması (parazit), havai hat, yüzeye yakın kablo ve fazla salınım durumlarında görsel, sesli ve titreşimli uyarı mekanizması.</t>
    </r>
  </si>
  <si>
    <r>
      <t>Derinlik ve Akım Ölçümü:</t>
    </r>
    <r>
      <rPr>
        <sz val="14"/>
        <color theme="1"/>
        <rFont val="Arial"/>
        <family val="2"/>
        <charset val="162"/>
      </rPr>
      <t xml:space="preserve"> 10 metre derinliğe kadar sürekli (anlık) derinlik ve akım (mA) okuma özelliği; 3 metrede maksimum %3 hata payı.</t>
    </r>
  </si>
  <si>
    <r>
      <t>Sinyal Yönü (Signal Direction):</t>
    </r>
    <r>
      <rPr>
        <sz val="14"/>
        <color theme="1"/>
        <rFont val="Arial"/>
        <family val="2"/>
        <charset val="162"/>
      </rPr>
      <t xml:space="preserve"> Komşu hatlarla karışıklığı önlemek için 320Hz/640Hz frekanslarında akım yönü (ok işaretiyle) tayini.</t>
    </r>
  </si>
  <si>
    <r>
      <t>Veri Kaydı ve Haberleşme:</t>
    </r>
    <r>
      <rPr>
        <sz val="14"/>
        <color theme="1"/>
        <rFont val="Arial"/>
        <family val="2"/>
        <charset val="162"/>
      </rPr>
      <t xml:space="preserve"> En az 5 milyon nokta kapasiteli dâhili veri kaydı; Bluetooth, GPS desteği ve USB üzerinden yazılım güncelleme imkânı.</t>
    </r>
  </si>
  <si>
    <r>
      <t>Ekran ve Arayüz:</t>
    </r>
    <r>
      <rPr>
        <sz val="14"/>
        <color theme="1"/>
        <rFont val="Arial"/>
        <family val="2"/>
        <charset val="162"/>
      </rPr>
      <t xml:space="preserve"> En az 4.3 inç renkli LCD ekran; pusula, sinyal şiddeti, kazanç (dB) ve batarya durumunun eş zamanlı gösterimi.</t>
    </r>
  </si>
  <si>
    <r>
      <t>Fiziksel Dayanıklılık ve Enerji:</t>
    </r>
    <r>
      <rPr>
        <sz val="14"/>
        <color theme="1"/>
        <rFont val="Arial"/>
        <family val="2"/>
        <charset val="162"/>
      </rPr>
      <t xml:space="preserve"> IP65 koruma sınıfı, darbelere dayanıklı ABS gövde; hem Li-ion (27 saat) hem alkalin pille çalışma seçeneği.</t>
    </r>
  </si>
  <si>
    <r>
      <t>Genişletilebilir Donanım:</t>
    </r>
    <r>
      <rPr>
        <sz val="14"/>
        <color theme="1"/>
        <rFont val="Arial"/>
        <family val="2"/>
        <charset val="162"/>
      </rPr>
      <t xml:space="preserve"> Marker (işaretleyici) tespiti, izolasyon hata bulma (A-Frame) ve farklı sonda frekansları ile uyumlu aksesuar desteği.</t>
    </r>
  </si>
  <si>
    <t>Verici (Transmitter)</t>
  </si>
  <si>
    <r>
      <t xml:space="preserve">3.1. </t>
    </r>
    <r>
      <rPr>
        <sz val="14"/>
        <color theme="1"/>
        <rFont val="Arial"/>
        <family val="2"/>
        <charset val="162"/>
      </rPr>
      <t>Alıcı (Receiver) ile uyumlu çalışacaktır.</t>
    </r>
  </si>
  <si>
    <r>
      <t xml:space="preserve">3.2. </t>
    </r>
    <r>
      <rPr>
        <sz val="14"/>
        <color theme="1"/>
        <rFont val="Arial"/>
        <family val="2"/>
        <charset val="162"/>
      </rPr>
      <t xml:space="preserve">İzleme kılavuz teli, canlı kablo bağlantı kelepçesi ve cansız hat bağlantı kıskaçları ile çalışabilecek sokete sahip olacaktır. </t>
    </r>
  </si>
  <si>
    <r>
      <t xml:space="preserve">3.3. </t>
    </r>
    <r>
      <rPr>
        <sz val="14"/>
        <color theme="1"/>
        <rFont val="Arial"/>
        <family val="2"/>
        <charset val="162"/>
      </rPr>
      <t>En az 512 Hz – 200 kHz aralığında olmak üzere farklı frekanslarda sinyal üretebilecektir.</t>
    </r>
  </si>
  <si>
    <r>
      <t>3.4.</t>
    </r>
    <r>
      <rPr>
        <sz val="14"/>
        <color theme="1"/>
        <rFont val="Arial"/>
        <family val="2"/>
        <charset val="162"/>
      </rPr>
      <t xml:space="preserve"> Jeneratör kabloya doğrudan bağlanamadığı durumlarda kullanılmak üzere bir lup antene  sahip olacaktır. </t>
    </r>
  </si>
  <si>
    <r>
      <t>3.5.</t>
    </r>
    <r>
      <rPr>
        <sz val="14"/>
        <color theme="1"/>
        <rFont val="Arial"/>
        <family val="2"/>
        <charset val="162"/>
      </rPr>
      <t xml:space="preserve"> Cihaz standart alkaline piller ile çalışabilecek, talep edildiği takdirde opsiyonel olarak şarj edilebilir özelliğe sahip batarya ile de çalışabilecektir. </t>
    </r>
  </si>
  <si>
    <r>
      <t xml:space="preserve">3.6. </t>
    </r>
    <r>
      <rPr>
        <sz val="14"/>
        <color theme="1"/>
        <rFont val="Arial"/>
        <family val="2"/>
        <charset val="162"/>
      </rPr>
      <t>Her türlü hava şartlarında çalışabilir, ergonomik, sağlam ve dayanıklı yapıya sahip olacaktır.</t>
    </r>
  </si>
  <si>
    <r>
      <t xml:space="preserve">3.7. </t>
    </r>
    <r>
      <rPr>
        <sz val="14"/>
        <color theme="1"/>
        <rFont val="Arial"/>
        <family val="2"/>
        <charset val="162"/>
      </rPr>
      <t>Hatların bağlantısız yer tespitinde en az 3 ayrı indiksüyon frekansı olacaktır.</t>
    </r>
  </si>
  <si>
    <r>
      <t xml:space="preserve">3.8. </t>
    </r>
    <r>
      <rPr>
        <sz val="14"/>
        <color theme="1"/>
        <rFont val="Arial"/>
        <family val="2"/>
        <charset val="162"/>
      </rPr>
      <t>Topraklama çubuğu ve uzatma kablosu olacaktır.</t>
    </r>
  </si>
  <si>
    <r>
      <t xml:space="preserve">3.9. </t>
    </r>
    <r>
      <rPr>
        <sz val="14"/>
        <color theme="1"/>
        <rFont val="Arial"/>
        <family val="2"/>
        <charset val="162"/>
      </rPr>
      <t>Alıcı ve vericiyi içine alabilen orijinal taşıma çantası olacaktır.</t>
    </r>
  </si>
  <si>
    <r>
      <t>3.11.</t>
    </r>
    <r>
      <rPr>
        <sz val="14"/>
        <color theme="1"/>
        <rFont val="Arial"/>
        <family val="2"/>
        <charset val="162"/>
      </rPr>
      <t>Cihazın çalışma sıcaklık aralığı en az -20˚C ile +50˚C, depolama sıcaklığı -40˚C ile + 60˚C arasında olacaktır.</t>
    </r>
  </si>
  <si>
    <r>
      <t>3.12.</t>
    </r>
    <r>
      <rPr>
        <sz val="14"/>
        <color theme="1"/>
        <rFont val="Arial"/>
        <family val="2"/>
        <charset val="162"/>
      </rPr>
      <t>Vericinin ağırlığı piller hariç en fazla 3,24 kg olacaktır.</t>
    </r>
  </si>
  <si>
    <r>
      <t>3.13.</t>
    </r>
    <r>
      <rPr>
        <sz val="14"/>
        <color theme="1"/>
        <rFont val="Arial"/>
        <family val="2"/>
        <charset val="162"/>
      </rPr>
      <t>Verici ebatları en fazla 332mm x 182mm x 185 mmolacaktır.</t>
    </r>
  </si>
  <si>
    <r>
      <t>3.14.</t>
    </r>
    <r>
      <rPr>
        <sz val="14"/>
        <color theme="1"/>
        <rFont val="Arial"/>
        <family val="2"/>
        <charset val="162"/>
      </rPr>
      <t>Verici 8 adet 1,5 V büyük alkalin pil ile çalışacaktır.</t>
    </r>
  </si>
  <si>
    <r>
      <t>3.15.</t>
    </r>
    <r>
      <rPr>
        <sz val="14"/>
        <color theme="1"/>
        <rFont val="Arial"/>
        <family val="2"/>
        <charset val="162"/>
      </rPr>
      <t xml:space="preserve"> Verici tam dolu piller ile en az 6 saat çalışabilir özellikte olacaktır. Opsiyonel olarak kullanılabilecek şarj edilebilir piller ile en az 10 saat çalışabilir özellikte olacaktır.</t>
    </r>
  </si>
  <si>
    <r>
      <t>3.16.</t>
    </r>
    <r>
      <rPr>
        <sz val="14"/>
        <color theme="1"/>
        <rFont val="Arial"/>
        <family val="2"/>
        <charset val="162"/>
      </rPr>
      <t>Koruma sınıfı en az IP 65 ve NEMA 54 olacaktır.</t>
    </r>
  </si>
  <si>
    <r>
      <t xml:space="preserve">3.17. </t>
    </r>
    <r>
      <rPr>
        <sz val="14"/>
        <color theme="1"/>
        <rFont val="Arial"/>
        <family val="2"/>
        <charset val="162"/>
      </rPr>
      <t>Cansız hat bağlantı kıskaçları, 125 mm canlı hat bağlantı kelepçesi ve topraklama çubuğu ile birlikte teslim edilecektir.</t>
    </r>
  </si>
  <si>
    <t xml:space="preserve">VANA, KAPAK, MENHOL TESPİT CİHAZI </t>
  </si>
  <si>
    <t>Metal Dedektör</t>
  </si>
  <si>
    <r>
      <t>3.1.</t>
    </r>
    <r>
      <rPr>
        <sz val="11"/>
        <color theme="1"/>
        <rFont val="Times New Roman"/>
        <family val="1"/>
        <charset val="162"/>
      </rPr>
      <t xml:space="preserve">Cihaz kayıp vana ve baca kapaklarını problemsiz ve emin bir şekilde tespit etmek amacı ile kullanılacaktır. Toprak yapısı ne olursa olsun, asfalt, toprak, kar v.s. altında kalan kayıp vana, vana kapakları ve baca kapaklarının tespitini yapacaktır. </t>
    </r>
  </si>
  <si>
    <r>
      <t>3.2.</t>
    </r>
    <r>
      <rPr>
        <sz val="11"/>
        <color theme="1"/>
        <rFont val="Times New Roman"/>
        <family val="1"/>
        <charset val="162"/>
      </rPr>
      <t>Cihaz sadece ferromanyetik olan metallere duyarlı olacak, meşrubat kutusu, sigara jelâtini, gazoz kapağı gibi nesnelere sinyal vermeyerek yanılma payını azaltacaktır</t>
    </r>
  </si>
  <si>
    <r>
      <t>3.3.</t>
    </r>
    <r>
      <rPr>
        <sz val="11"/>
        <color theme="1"/>
        <rFont val="Times New Roman"/>
        <family val="1"/>
        <charset val="162"/>
      </rPr>
      <t>Cihazın muhafazası su sızdırmaz olacak ve darbelere karşı cihazı koruyacaktır. Ekran ünitesinin altındaki kısım komple karbon fiber kaplama olacaktır.</t>
    </r>
  </si>
  <si>
    <r>
      <t>3.4.</t>
    </r>
    <r>
      <rPr>
        <sz val="11"/>
        <color theme="1"/>
        <rFont val="Times New Roman"/>
        <family val="1"/>
        <charset val="162"/>
      </rPr>
      <t>Cihazın ışıklandırılmalı dot matrix LCD ekranı olacaktır.</t>
    </r>
  </si>
  <si>
    <r>
      <t>3.5.</t>
    </r>
    <r>
      <rPr>
        <sz val="11"/>
        <color theme="1"/>
        <rFont val="Times New Roman"/>
        <family val="1"/>
        <charset val="162"/>
      </rPr>
      <t>Arama esnasında; sinyal şiddetini ekranda rakamsal ve bar grafik olarak gösterecektir.</t>
    </r>
  </si>
  <si>
    <r>
      <t>3.6.</t>
    </r>
    <r>
      <rPr>
        <sz val="11"/>
        <color theme="1"/>
        <rFont val="Times New Roman"/>
        <family val="1"/>
        <charset val="162"/>
      </rPr>
      <t>Ses ayarı yapılabilecek ve ekranda ses şiddeti göstergesi mevcut olacaktır.</t>
    </r>
  </si>
  <si>
    <r>
      <t>3.7.</t>
    </r>
    <r>
      <rPr>
        <sz val="11"/>
        <color theme="1"/>
        <rFont val="Times New Roman"/>
        <family val="1"/>
        <charset val="162"/>
      </rPr>
      <t xml:space="preserve">Cihaz vana kapaklarını en az 2 metre, baca ve menhol kapaklarını ise en az 3 metre derinliğe kadar tespit edecektir. </t>
    </r>
  </si>
  <si>
    <r>
      <t>3.8.</t>
    </r>
    <r>
      <rPr>
        <sz val="11"/>
        <color theme="1"/>
        <rFont val="Times New Roman"/>
        <family val="1"/>
        <charset val="162"/>
      </rPr>
      <t>Büyük çaplı demir ve yer altı tanklarını büyüklüğüne göre en az 4 metreye kadar tespit edecektir.</t>
    </r>
  </si>
  <si>
    <r>
      <t>3.9.</t>
    </r>
    <r>
      <rPr>
        <sz val="11"/>
        <color theme="1"/>
        <rFont val="Times New Roman"/>
        <family val="1"/>
        <charset val="162"/>
      </rPr>
      <t>Arama esnasında pil seviyesini sürekli gösterecek ve pil değişiminin gerekli olduğu durumlarda pil seviyesi göstergesi yanıp sönerek kullanıcıyı ikaz edecektir.</t>
    </r>
  </si>
  <si>
    <r>
      <t>3.10.</t>
    </r>
    <r>
      <rPr>
        <sz val="11"/>
        <color theme="1"/>
        <rFont val="Times New Roman"/>
        <family val="1"/>
        <charset val="162"/>
      </rPr>
      <t>Cihaz arama esnasında kullanıcıyı akustik olarak ikaz edecektir. Tespit edilen metal cismin üzerinde durulduğunda ses maksimum olacaktır.</t>
    </r>
  </si>
  <si>
    <r>
      <t>3.11.</t>
    </r>
    <r>
      <rPr>
        <sz val="11"/>
        <color theme="1"/>
        <rFont val="Times New Roman"/>
        <family val="1"/>
        <charset val="162"/>
      </rPr>
      <t>Ergonomik yapısı sayesinde tek el ile rahatlıkla kullanım imkânı olacak, ses ve hassasiyet ayarı tek el ile kontrol edilecektir.</t>
    </r>
  </si>
  <si>
    <r>
      <t>3.12.</t>
    </r>
    <r>
      <rPr>
        <sz val="11"/>
        <color theme="1"/>
        <rFont val="Times New Roman"/>
        <family val="1"/>
        <charset val="162"/>
      </rPr>
      <t>Tarama yapılan bölgede enerji hattı var ise kullanıcıyı ekranda sembol ile ikaz edecektir.</t>
    </r>
  </si>
  <si>
    <r>
      <t>3.13.</t>
    </r>
    <r>
      <rPr>
        <sz val="11"/>
        <color theme="1"/>
        <rFont val="Times New Roman"/>
        <family val="1"/>
        <charset val="162"/>
      </rPr>
      <t>Cihaz tespit yapılan metalin manyetik alan yönünü ‘+’ ve ‘-’ sembol ile ekranda gösterecek ve bu özellik sayesinde tespit edilen metalin şeklini ve büyüklüğünü yer üstünden tayin edebilecektir.</t>
    </r>
  </si>
  <si>
    <r>
      <t>3.14.</t>
    </r>
    <r>
      <rPr>
        <sz val="11"/>
        <color theme="1"/>
        <rFont val="Times New Roman"/>
        <family val="1"/>
        <charset val="162"/>
      </rPr>
      <t xml:space="preserve">2 adet kalem pil olarak bilinen standart boyutlarda pillerle en az 26 saat çalışabilecektir. </t>
    </r>
  </si>
  <si>
    <r>
      <t>3.15.</t>
    </r>
    <r>
      <rPr>
        <sz val="11"/>
        <color theme="1"/>
        <rFont val="Times New Roman"/>
        <family val="1"/>
        <charset val="162"/>
      </rPr>
      <t>Ekran üzerinde açma/kapama tuşu, ses açma kapama fonksiyonu, hassasiyet ayarı olacaktır. Cihaz üzerinde konfigürasyon yapmaya yarayan USB giriş portu olacaktır.</t>
    </r>
  </si>
  <si>
    <r>
      <t>3.16.</t>
    </r>
    <r>
      <rPr>
        <sz val="11"/>
        <color theme="1"/>
        <rFont val="Times New Roman"/>
        <family val="1"/>
        <charset val="162"/>
      </rPr>
      <t xml:space="preserve">Cihaz en az IP 54 ve NEMA 4 koruma sınıfına haiz olacaktır. </t>
    </r>
  </si>
  <si>
    <r>
      <t>3.17.</t>
    </r>
    <r>
      <rPr>
        <sz val="11"/>
        <color theme="1"/>
        <rFont val="Times New Roman"/>
        <family val="1"/>
        <charset val="162"/>
      </rPr>
      <t xml:space="preserve"> Cihaz Dual Magnometre antene sahip olacaktır.</t>
    </r>
  </si>
  <si>
    <r>
      <t>3 18.</t>
    </r>
    <r>
      <rPr>
        <sz val="11"/>
        <color theme="1"/>
        <rFont val="Times New Roman"/>
        <family val="1"/>
        <charset val="162"/>
      </rPr>
      <t xml:space="preserve"> Cihazın ağırlığı 700 gr’dan fazla olmayacaktır.</t>
    </r>
  </si>
  <si>
    <r>
      <t>3.19.</t>
    </r>
    <r>
      <rPr>
        <sz val="11"/>
        <color theme="1"/>
        <rFont val="Times New Roman"/>
        <family val="1"/>
        <charset val="162"/>
      </rPr>
      <t xml:space="preserve"> Çalışma sıcaklığı en az -20˚C ile +50˚C arasında olacaktır.</t>
    </r>
  </si>
  <si>
    <r>
      <t>3.20.</t>
    </r>
    <r>
      <rPr>
        <sz val="11"/>
        <color theme="1"/>
        <rFont val="Times New Roman"/>
        <family val="1"/>
        <charset val="162"/>
      </rPr>
      <t>Depolama sıcaklığı en az -40˚C ile 60˚ arasında olacaktır.</t>
    </r>
  </si>
  <si>
    <r>
      <t>3.21.</t>
    </r>
    <r>
      <rPr>
        <sz val="11"/>
        <color theme="1"/>
        <rFont val="Times New Roman"/>
        <family val="1"/>
        <charset val="162"/>
      </rPr>
      <t xml:space="preserve"> Kullanıcının rahat çalışabilmesi için cihazın yüksekliği en fazla 110 cm olacaktır.</t>
    </r>
  </si>
  <si>
    <r>
      <t>3.22.</t>
    </r>
    <r>
      <rPr>
        <sz val="11"/>
        <color theme="1"/>
        <rFont val="Times New Roman"/>
        <family val="1"/>
        <charset val="162"/>
      </rPr>
      <t>Cihazın ebatları en fazla 1090 x 88 x 67 mm olacaktır.</t>
    </r>
  </si>
  <si>
    <r>
      <t>3.23.</t>
    </r>
    <r>
      <rPr>
        <sz val="11"/>
        <color theme="1"/>
        <rFont val="Times New Roman"/>
        <family val="1"/>
        <charset val="162"/>
      </rPr>
      <t>Cihazın pil yuvası etrafı su geçirmez orling ile çevrili olacak, pil yuvasına sıvı girişini engelleyecek şekilde tasarlanmış olacaktır.</t>
    </r>
  </si>
  <si>
    <r>
      <t>3.24.</t>
    </r>
    <r>
      <rPr>
        <sz val="11"/>
        <color theme="1"/>
        <rFont val="Times New Roman"/>
        <family val="1"/>
        <charset val="162"/>
      </rPr>
      <t xml:space="preserve"> Cihaz orijinal taşıma çantası, Türkçe ve İngilizce kullanma kılavuzu ile birlikte teslim edilecektir.</t>
    </r>
  </si>
  <si>
    <r>
      <t>3.25.</t>
    </r>
    <r>
      <rPr>
        <sz val="11"/>
        <color theme="1"/>
        <rFont val="Times New Roman"/>
        <family val="1"/>
        <charset val="162"/>
      </rPr>
      <t xml:space="preserve"> Teklif edilen ürün CE belgesine sahip olacak, yüklenici firma teklifinde bu belgeyi de sunacaktır.</t>
    </r>
  </si>
  <si>
    <t>Yer Altı Tespit Radarı (GPR)</t>
  </si>
  <si>
    <t>1.1. Ekipman; bir GPR anten, sensör bloğu, batarya, takım çantası,ıpad, GPR yazılımı ile bir adet yedek batarya’dan oluşacaktır.</t>
  </si>
  <si>
    <t xml:space="preserve">1.2. GPR anteni 40 – 3440 MHz gücünde ve 3200 MHz bant genişliğinde, yüksek çözünürlüklü ultra geniş bant teknolojisine sahip, zemin maksimum sinyal için kuplajlı etki özellikli olacaktır. </t>
  </si>
  <si>
    <t xml:space="preserve">1.3. Basamaklı frekans ve devamlı dalga üretebilme özelliklerine sahip olmalıdır. </t>
  </si>
  <si>
    <t>1.4. GPR sensörü boyutları en fazla 610 x 570 x 380 mm olacaktır.</t>
  </si>
  <si>
    <t>1.5. GPR sensörü ağırlığı ek aksesuarlar hariç en fazla 24 Kg olacaktır.</t>
  </si>
  <si>
    <t>1.6. Maksimum ölçüm uzunluğu 15 km olacaktır.</t>
  </si>
  <si>
    <t>1.7. Maksimum karelaj uzunlukları 80x80m olacaktır.</t>
  </si>
  <si>
    <t xml:space="preserve">1.8. Cihaz anteni ekran olarak kullanılan Ipad e WIFI ile bağlanacaktır. Bu sayede ölçüm alınırken bağlantı için herhangi bir kabloya ihtiyaç olmayacaktır. </t>
  </si>
  <si>
    <t xml:space="preserve">1.9. Cihaz frekans özellikleri sayesinde 1 cm çapında nesneleri dahi tespit edebilecek özellikte olacaktır. </t>
  </si>
  <si>
    <t>1.10. Tarama hızı en az 500 Hz olacaktır.</t>
  </si>
  <si>
    <t>1.11. Cihaz 1 metrelik ölçümde en az 100 ölçü alabilecek kapasitede olacaktır.</t>
  </si>
  <si>
    <t>1.12. Cihaz c tip piller ile 3.5 saat, powerbank ile 8-10 saat arasında kesintisiz çalışabilecektir.</t>
  </si>
  <si>
    <t xml:space="preserve">1.13. Sahada yapılan çalışmalarda istenilen noktalar işaretlenebilecektir. </t>
  </si>
  <si>
    <t>1.14. Boru hatları ve elektrik hatları işaretlenebilecek olup farklı derinliklerin incelemesine imkân sağlayacaktır.</t>
  </si>
  <si>
    <t xml:space="preserve">1.15. Sahada tek kişi kolayca ölçüm alabilmelidir. </t>
  </si>
  <si>
    <t>1.16. Cihazın yazılımı iOS tabanlı olup, güncellemeleri istenildiği zaman kullanıcı tarafından internet üzerinden kolaylıkla ve ücretsiz güncellenebilir olmalıdır.</t>
  </si>
  <si>
    <t>1.17. Etkili derinlik mesafesi en az 10 m’ye kadar olmalıdır.</t>
  </si>
  <si>
    <t>1.18. 2 farklı ölçü toplama yöntemi olacaktır. Bunlar düz hatlar şeklinde(line scan), karelaj şeklinde (grid scan) .</t>
  </si>
  <si>
    <t xml:space="preserve">1.19. Cihazın itme kolu sökülerek ters bir şekilde montajı yapıldığı zaman çekilebilir hale gelmelidir. </t>
  </si>
  <si>
    <t>1.20. Cihazın anteni arazi şartlarına göre yere temas ettirilebilir şekilde alçaltılıp yükseltilebilir olmalıdır. Antenin yükseltilmiş hali yerden 25 mm yükseklikte olmalıdır ve anten sallanmayacak şekilde sabit durmalıdır.</t>
  </si>
  <si>
    <t>1.21. Ipad, üzerinde istenildiği durumda mevcut yer altı durumunu gösteren ifadelerin resmini çekip, cihazın kendi hafızasına kayıt eden yapıya sahip olmalıdır.</t>
  </si>
  <si>
    <t>1.22. En az 2 tekerinde dâhili sayaca sahip olmalıdır. Bu sayede yörüngede ilerledikçe haritalanan bölümün metrik ölçümünü kesintisiz yapılabilmelidir.</t>
  </si>
  <si>
    <t xml:space="preserve">1.23. Kapasitesi arttırılabilir taşınabilir şarj aleti ve yedek olarak C tip şarj edilebilir pillerden oluşan değiştirilebilen 2 adet pil yuvasına sahip olacaktır. </t>
  </si>
  <si>
    <t xml:space="preserve">1.24. 110 - 240 V batarya şarj aleti olacak ve sistem ile birlikte teslim edilecektir. </t>
  </si>
  <si>
    <t>1.25. Ağırlığı batarya dahil 24 kg’ı geçmemelidir.</t>
  </si>
  <si>
    <t xml:space="preserve">1.26. Sistem en az IP65 sınıfı su geçirmez, dayanıklı ve sağlam yapıya sahip olacaktır. </t>
  </si>
  <si>
    <t>1.27. Cihaz çalışma sıcaklık aralığı en az -10°C……… +50°C olacak, % 95 nem altında çalışabilecektir.</t>
  </si>
  <si>
    <t>1.28. Sistem tüm fonksiyonlarının kullanıcı tarafından test edilebilme fonksiyonu olacaktır.</t>
  </si>
  <si>
    <t xml:space="preserve">1.29. Sistem yazılım ve menüsü İngilizce dil desteğine olacaktır. </t>
  </si>
  <si>
    <t>1.30. Sahada hızlı ve kolay kurulum için parçalar, ayrılıp birleştirilebilir özellikte olmalıdır.</t>
  </si>
  <si>
    <t xml:space="preserve">1.31. Sistem taşıma arabası sağlamlaştırılmış ve hafif alüminyum alaşım malzemeden imal edilmiş olacaktır. Sistem sahada kullanım kolaylığı açısından 4 tekerlekli olacaktır. </t>
  </si>
  <si>
    <t>1-32. Uçakta taşınabilirliği için batarya yuvasının sökülebilir olması gerekmektedir.</t>
  </si>
  <si>
    <t>1.33. Sistem taşıma arabası rahatlıkla katlanabilir ve taşınabilir olmalıdır.</t>
  </si>
  <si>
    <t>1.34. Cihaz anteni üzerinde 1 adet Ethernet girişi, 1 adet USB girişi ve 1 adet IPAD – Ekran kablolu bağlantı için USB B giriş portu bulunacaktır</t>
  </si>
  <si>
    <r>
      <t>·</t>
    </r>
    <r>
      <rPr>
        <sz val="7"/>
        <color theme="1"/>
        <rFont val="Times New Roman"/>
        <family val="1"/>
        <charset val="162"/>
      </rPr>
      <t xml:space="preserve">                 </t>
    </r>
    <r>
      <rPr>
        <sz val="11"/>
        <color theme="1"/>
        <rFont val="Times New Roman"/>
        <family val="1"/>
        <charset val="162"/>
      </rPr>
      <t xml:space="preserve">Ekran boyutu minimum </t>
    </r>
    <r>
      <rPr>
        <b/>
        <sz val="11"/>
        <color theme="1"/>
        <rFont val="Times New Roman"/>
        <family val="1"/>
        <charset val="162"/>
      </rPr>
      <t>11 inç</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</si>
  <si>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 xml:space="preserve">Ekran çözünürlüğü minimum </t>
    </r>
    <r>
      <rPr>
        <b/>
        <sz val="11"/>
        <color theme="1"/>
        <rFont val="Times New Roman"/>
        <family val="1"/>
        <charset val="162"/>
      </rPr>
      <t>2388 x 1668 piksel</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</si>
  <si>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Yüksek parlaklık ve renk doğruluğuna sahip olacaktır.</t>
    </r>
  </si>
  <si>
    <r>
      <t>·</t>
    </r>
    <r>
      <rPr>
        <sz val="7"/>
        <color theme="1"/>
        <rFont val="Times New Roman"/>
        <family val="1"/>
        <charset val="162"/>
      </rPr>
      <t xml:space="preserve">                 </t>
    </r>
    <r>
      <rPr>
        <sz val="11"/>
        <color theme="1"/>
        <rFont val="Times New Roman"/>
        <family val="1"/>
        <charset val="162"/>
      </rPr>
      <t>Çoklu dokunmatik (multi-touch) destekleyecektir.</t>
    </r>
  </si>
  <si>
    <r>
      <t>·</t>
    </r>
    <r>
      <rPr>
        <sz val="7"/>
        <color theme="1"/>
        <rFont val="Times New Roman"/>
        <family val="1"/>
        <charset val="162"/>
      </rPr>
      <t xml:space="preserve">                 </t>
    </r>
    <r>
      <rPr>
        <sz val="11"/>
        <color theme="1"/>
        <rFont val="Times New Roman"/>
        <family val="1"/>
        <charset val="162"/>
      </rPr>
      <t xml:space="preserve">İşletim Sistemi: </t>
    </r>
    <r>
      <rPr>
        <b/>
        <sz val="11"/>
        <color theme="1"/>
        <rFont val="Times New Roman"/>
        <family val="1"/>
        <charset val="162"/>
      </rPr>
      <t>iPadOS 16 veya üzeri</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</si>
  <si>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 xml:space="preserve">Dahili depolama kapasitesi minimum </t>
    </r>
    <r>
      <rPr>
        <b/>
        <sz val="11"/>
        <color theme="1"/>
        <rFont val="Times New Roman"/>
        <family val="1"/>
        <charset val="162"/>
      </rPr>
      <t>512 GB</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</si>
  <si>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Wi-Fi bağlantı özelliği bulunacaktır.</t>
    </r>
  </si>
  <si>
    <r>
      <t>·</t>
    </r>
    <r>
      <rPr>
        <sz val="7"/>
        <color theme="1"/>
        <rFont val="Times New Roman"/>
        <family val="1"/>
        <charset val="162"/>
      </rPr>
      <t xml:space="preserve">                 </t>
    </r>
    <r>
      <rPr>
        <sz val="11"/>
        <color theme="1"/>
        <rFont val="Times New Roman"/>
        <family val="1"/>
        <charset val="162"/>
      </rPr>
      <t>Bluetooth bağlantı özelliği bulunacaktır.</t>
    </r>
  </si>
  <si>
    <t>Screening Eagle (Proceq) - GP8000</t>
  </si>
  <si>
    <r>
      <t>1.1.</t>
    </r>
    <r>
      <rPr>
        <sz val="7"/>
        <color theme="1"/>
        <rFont val="Times New Roman"/>
        <family val="1"/>
        <charset val="162"/>
      </rPr>
      <t xml:space="preserve"> </t>
    </r>
    <r>
      <rPr>
        <sz val="11"/>
        <color theme="1"/>
        <rFont val="Times New Roman"/>
        <family val="1"/>
        <charset val="162"/>
      </rPr>
      <t>Verilecek GNSS sistemi 1 adet alıcıdan oluşacak; statik, hızlı statik, kinematik  ve RTK ölçü yöntemlerinin her birini yapacak ve CORS-TR (TUSAGA-Aktif) projesinin statik ve Real Time verileri ile uyumlu olarak çalışacaktır.Ayrıca DGPS  olarak çalışabilecek durumda olmalıdır.</t>
    </r>
  </si>
  <si>
    <r>
      <t>2.</t>
    </r>
    <r>
      <rPr>
        <b/>
        <sz val="7"/>
        <color theme="1"/>
        <rFont val="Times New Roman"/>
        <family val="1"/>
        <charset val="162"/>
      </rPr>
      <t xml:space="preserve">      </t>
    </r>
    <r>
      <rPr>
        <b/>
        <sz val="11"/>
        <color theme="1"/>
        <rFont val="Times New Roman"/>
        <family val="1"/>
        <charset val="162"/>
      </rPr>
      <t>ALICININ TEKNİK ÖZELLİKLERİ</t>
    </r>
  </si>
  <si>
    <r>
      <t>2.1.</t>
    </r>
    <r>
      <rPr>
        <b/>
        <sz val="7"/>
        <color theme="1"/>
        <rFont val="Times New Roman"/>
        <family val="1"/>
        <charset val="162"/>
      </rPr>
      <t xml:space="preserve"> </t>
    </r>
    <r>
      <rPr>
        <sz val="11"/>
        <color theme="1"/>
        <rFont val="Times New Roman"/>
        <family val="1"/>
        <charset val="162"/>
      </rPr>
      <t>GNSS alıcısı en az 225 kanallı olup   aşağıdaki  uydu sinyallerini izleyebilmeli ve desteklemelidir.</t>
    </r>
  </si>
  <si>
    <t>*GPS L1 C/A, L1C, L1P(Y), L2P(Y), L2C, L5</t>
  </si>
  <si>
    <t>*GLONASS L1 C/A, L1P, L2C/A, L2P, L3C</t>
  </si>
  <si>
    <t>*Galileo E1, E5a, E5b, E5 Alt-BOC</t>
  </si>
  <si>
    <t>*BeiDou B1, B2</t>
  </si>
  <si>
    <t>*SBAS WAAS/EGNOS/MSAS</t>
  </si>
  <si>
    <t>*L-band</t>
  </si>
  <si>
    <r>
      <t>2.2.</t>
    </r>
    <r>
      <rPr>
        <sz val="7"/>
        <color theme="1"/>
        <rFont val="Times New Roman"/>
        <family val="1"/>
        <charset val="162"/>
      </rPr>
      <t xml:space="preserve"> </t>
    </r>
    <r>
      <rPr>
        <sz val="11"/>
        <color theme="1"/>
        <rFont val="Times New Roman"/>
        <family val="1"/>
        <charset val="162"/>
      </rPr>
      <t>Alıcılar üzerindeki batarya ile  -40 ile +65 derece arasında çalışabilecek ve su ve toz  geçirimsizlik  standardı en az IP67 özelliğine sahip olacaktır.</t>
    </r>
  </si>
  <si>
    <r>
      <t>2.3.</t>
    </r>
    <r>
      <rPr>
        <sz val="7"/>
        <color theme="1"/>
        <rFont val="Times New Roman"/>
        <family val="1"/>
        <charset val="162"/>
      </rPr>
      <t xml:space="preserve"> </t>
    </r>
    <r>
      <rPr>
        <sz val="11"/>
        <color theme="1"/>
        <rFont val="Times New Roman"/>
        <family val="1"/>
        <charset val="162"/>
      </rPr>
      <t>Cihazın anteni  sıfır yükseklik açısındaki  uyduları  kullanabilecek multipath(sinyal yansımaları) azaltan  anten teknolojisine sahip olmalıdır.</t>
    </r>
  </si>
  <si>
    <t>2.4. RTCM  2,1 ve üzeri veri alışveriş formatına uygun olacaktır.</t>
  </si>
  <si>
    <r>
      <t>2.5.</t>
    </r>
    <r>
      <rPr>
        <sz val="7"/>
        <color theme="1"/>
        <rFont val="Times New Roman"/>
        <family val="1"/>
        <charset val="162"/>
      </rPr>
      <t xml:space="preserve">  </t>
    </r>
    <r>
      <rPr>
        <sz val="11"/>
        <color theme="1"/>
        <rFont val="Times New Roman"/>
        <family val="1"/>
        <charset val="162"/>
      </rPr>
      <t>Cihaz gerektiğinde yüksek hassasiyetli RTK  için en az 20hz  olarak veri  gönderebilmelidir.</t>
    </r>
  </si>
  <si>
    <t xml:space="preserve">2.6. GNSS alıcısı  üzerinde  üzerinde, nemden ve sudan korunmuş en az 8gb. Dahili veya Ata flash kart/Compact flash kart /SD kart olacak ve bu hafıza üzerine statik veri toplanabilecektir. </t>
  </si>
  <si>
    <r>
      <t>2.7.</t>
    </r>
    <r>
      <rPr>
        <sz val="7"/>
        <color theme="1"/>
        <rFont val="Times New Roman"/>
        <family val="1"/>
        <charset val="162"/>
      </rPr>
      <t xml:space="preserve"> </t>
    </r>
    <r>
      <rPr>
        <sz val="11"/>
        <color theme="1"/>
        <rFont val="Times New Roman"/>
        <family val="1"/>
        <charset val="162"/>
      </rPr>
      <t>Cihazla radyo ve gsm modemin dışında kablosuz  en az 600m çapında RTK ‘da yapabilmelidir.Ayrıca bulut sistemi üzerinden en az 1 sabit 10 gezici olarak RTK  yapma özelliği olmalıdır.</t>
    </r>
  </si>
  <si>
    <r>
      <t>2.8.</t>
    </r>
    <r>
      <rPr>
        <sz val="7"/>
        <color theme="1"/>
        <rFont val="Times New Roman"/>
        <family val="1"/>
        <charset val="162"/>
      </rPr>
      <t xml:space="preserve"> </t>
    </r>
    <r>
      <rPr>
        <sz val="11"/>
        <color theme="1"/>
        <rFont val="Times New Roman"/>
        <family val="1"/>
        <charset val="162"/>
      </rPr>
      <t>Cihazda IMU özelliği olmalı ve en az aşağıdaki hassasiyette olmalı Yatay : 1.5 mm/°Tilt; Tilt ≤ 10° | Yatay: 2 mm/°Tilt; Tilt &gt; 10°</t>
    </r>
  </si>
  <si>
    <t xml:space="preserve">2.9.GNSS alıcısının  RTK ve Cors  yapacak  özellikte  donanıma sahip olmalıdır. GNSS alıcısı üzerinde dahili GSM olmalıdır.RTCM SC104 Version 2.x ve 3.x formatlarını desteklemelidir. Yeterli miktarda uydu olması, minimum multipath ve ionosferik aktivite durumunda, ve referans istasyonu konumunun doğru olması durumunda, sistem performansı en az aşağıdaki gibi olmalıdır. </t>
  </si>
  <si>
    <r>
      <t xml:space="preserve">Leica GS18 T modeli (Bu ürün set halinde gelen bir ürün GNSS olarak çalışıyor. Aynı zamanda DGPS olarakda çalışıyor. Setin içinde ayrıca şartnamenin 20. sayfası ve 21. sayfadaki 6 no'lu madde de bahsi geçen ürünlerde mevcut diye görüldü. (Batarya, anten, Kontrol ünitesi, Jalon ve RTK. </t>
    </r>
    <r>
      <rPr>
        <b/>
        <sz val="13"/>
        <color rgb="FFFF0000"/>
        <rFont val="Century Gothic"/>
        <family val="2"/>
        <charset val="162"/>
      </rPr>
      <t>Ancak tekrardan kontrol edilmeli.</t>
    </r>
  </si>
  <si>
    <r>
      <t>GNSS Alıcı Sistemi</t>
    </r>
    <r>
      <rPr>
        <b/>
        <sz val="14"/>
        <color theme="1"/>
        <rFont val="Arial"/>
        <family val="2"/>
        <charset val="162"/>
      </rPr>
      <t xml:space="preserve"> (SET)</t>
    </r>
  </si>
  <si>
    <t>Sonda Vericileri</t>
  </si>
  <si>
    <t>Büyük Tip</t>
  </si>
  <si>
    <r>
      <t>·</t>
    </r>
    <r>
      <rPr>
        <sz val="7"/>
        <color theme="1"/>
        <rFont val="Times New Roman"/>
        <family val="1"/>
        <charset val="162"/>
      </rPr>
      <t xml:space="preserve">                 </t>
    </r>
    <r>
      <rPr>
        <sz val="11"/>
        <color theme="1"/>
        <rFont val="Times New Roman"/>
        <family val="1"/>
        <charset val="162"/>
      </rPr>
      <t>Cihaz, 512 Hz çalışma frekansında sinyal üretebilmelidir.</t>
    </r>
  </si>
  <si>
    <r>
      <t>·</t>
    </r>
    <r>
      <rPr>
        <sz val="7"/>
        <color theme="1"/>
        <rFont val="Times New Roman"/>
        <family val="1"/>
        <charset val="162"/>
      </rPr>
      <t xml:space="preserve">                 </t>
    </r>
    <r>
      <rPr>
        <sz val="11"/>
        <color theme="1"/>
        <rFont val="Times New Roman"/>
        <family val="1"/>
        <charset val="162"/>
      </rPr>
      <t>Sonda çapı en fazla 23 mm olmalı ve dar çaplı boru hatlarında kullanılabilir yapıda olmalıdır.</t>
    </r>
  </si>
  <si>
    <r>
      <t>·</t>
    </r>
    <r>
      <rPr>
        <sz val="7"/>
        <color theme="1"/>
        <rFont val="Times New Roman"/>
        <family val="1"/>
        <charset val="162"/>
      </rPr>
      <t xml:space="preserve">                 </t>
    </r>
    <r>
      <rPr>
        <sz val="11"/>
        <color theme="1"/>
        <rFont val="Times New Roman"/>
        <family val="1"/>
        <charset val="162"/>
      </rPr>
      <t>Sonda uzunluğu yaklaşık 90 mm olmalıdır.</t>
    </r>
  </si>
  <si>
    <r>
      <t>·</t>
    </r>
    <r>
      <rPr>
        <sz val="7"/>
        <color theme="1"/>
        <rFont val="Times New Roman"/>
        <family val="1"/>
        <charset val="162"/>
      </rPr>
      <t xml:space="preserve">                 </t>
    </r>
    <r>
      <rPr>
        <sz val="11"/>
        <color theme="1"/>
        <rFont val="Times New Roman"/>
        <family val="1"/>
        <charset val="162"/>
      </rPr>
      <t>Cihaz, en az 5 metre algılama derinliğine sahip olmalıdır.</t>
    </r>
  </si>
  <si>
    <r>
      <t>·</t>
    </r>
    <r>
      <rPr>
        <sz val="7"/>
        <color theme="1"/>
        <rFont val="Times New Roman"/>
        <family val="1"/>
        <charset val="162"/>
      </rPr>
      <t xml:space="preserve">                 </t>
    </r>
    <r>
      <rPr>
        <sz val="11"/>
        <color theme="1"/>
        <rFont val="Times New Roman"/>
        <family val="1"/>
        <charset val="162"/>
      </rPr>
      <t>Sonda gövdesi, dar yarıçaplı hatlarda ilerleyebilmesi için çok parçalı (en az 3 bölümlü) esnek yapıda olmalıdır.</t>
    </r>
  </si>
  <si>
    <r>
      <t>·</t>
    </r>
    <r>
      <rPr>
        <sz val="7"/>
        <color theme="1"/>
        <rFont val="Times New Roman"/>
        <family val="1"/>
        <charset val="162"/>
      </rPr>
      <t xml:space="preserve">                 </t>
    </r>
    <r>
      <rPr>
        <sz val="11"/>
        <color theme="1"/>
        <rFont val="Times New Roman"/>
        <family val="1"/>
        <charset val="162"/>
      </rPr>
      <t>Cihaz, hem metalik hem de metalik olmayan boru sistemlerinde çalışmaya uygun olmalıdır.</t>
    </r>
  </si>
  <si>
    <r>
      <t>·</t>
    </r>
    <r>
      <rPr>
        <sz val="7"/>
        <color theme="1"/>
        <rFont val="Times New Roman"/>
        <family val="1"/>
        <charset val="162"/>
      </rPr>
      <t xml:space="preserve">                 </t>
    </r>
    <r>
      <rPr>
        <sz val="11"/>
        <color theme="1"/>
        <rFont val="Times New Roman"/>
        <family val="1"/>
        <charset val="162"/>
      </rPr>
      <t>Sonda, farklı zemin koşullarında (kil, kum, dolgu vb.) stabil ve net sinyal iletimi sağlayabilmelidir.</t>
    </r>
  </si>
  <si>
    <r>
      <t>·</t>
    </r>
    <r>
      <rPr>
        <sz val="7"/>
        <color theme="1"/>
        <rFont val="Times New Roman"/>
        <family val="1"/>
        <charset val="162"/>
      </rPr>
      <t xml:space="preserve">                 </t>
    </r>
    <r>
      <rPr>
        <sz val="11"/>
        <color theme="1"/>
        <rFont val="Times New Roman"/>
        <family val="1"/>
        <charset val="162"/>
      </rPr>
      <t>Sinyal parazitlerini azaltacak şekilde optimize edilmiş iç yapıya sahip olmalıdır.</t>
    </r>
  </si>
  <si>
    <r>
      <t>·</t>
    </r>
    <r>
      <rPr>
        <sz val="7"/>
        <color theme="1"/>
        <rFont val="Times New Roman"/>
        <family val="1"/>
        <charset val="162"/>
      </rPr>
      <t xml:space="preserve">                 </t>
    </r>
    <r>
      <rPr>
        <sz val="11"/>
        <color theme="1"/>
        <rFont val="Times New Roman"/>
        <family val="1"/>
        <charset val="162"/>
      </rPr>
      <t>Cihaz, saha koşullarına uygun kompakt ve dayanıklı yapıda olmalıdır.</t>
    </r>
  </si>
  <si>
    <t>Vivax-Metrotech D23 Flex Sonde</t>
  </si>
  <si>
    <t>Küçük Tip</t>
  </si>
  <si>
    <r>
      <t>·</t>
    </r>
    <r>
      <rPr>
        <sz val="7"/>
        <color theme="1"/>
        <rFont val="Times New Roman"/>
        <family val="1"/>
        <charset val="162"/>
      </rPr>
      <t xml:space="preserve">                 </t>
    </r>
    <r>
      <rPr>
        <sz val="11"/>
        <color theme="1"/>
        <rFont val="Times New Roman"/>
        <family val="1"/>
        <charset val="162"/>
      </rPr>
      <t>Uzak verici / sonda vericisi, yer altı hat tespit işlemlerinde sonda verici veya sinyal verici olarak kullanılacaktır.</t>
    </r>
  </si>
  <si>
    <r>
      <t>·</t>
    </r>
    <r>
      <rPr>
        <sz val="7"/>
        <color theme="1"/>
        <rFont val="Times New Roman"/>
        <family val="1"/>
        <charset val="162"/>
      </rPr>
      <t xml:space="preserve">                 </t>
    </r>
    <r>
      <rPr>
        <sz val="11"/>
        <color theme="1"/>
        <rFont val="Times New Roman"/>
        <family val="1"/>
        <charset val="162"/>
      </rPr>
      <t xml:space="preserve">Çalışma sıcaklığı aralığı yaklaşık </t>
    </r>
    <r>
      <rPr>
        <b/>
        <sz val="11"/>
        <color theme="1"/>
        <rFont val="Times New Roman"/>
        <family val="1"/>
        <charset val="162"/>
      </rPr>
      <t>−20 °C ile +55 °C</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</si>
  <si>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 xml:space="preserve">Sonda </t>
    </r>
    <r>
      <rPr>
        <b/>
        <sz val="11"/>
        <color theme="1"/>
        <rFont val="Times New Roman"/>
        <family val="1"/>
        <charset val="162"/>
      </rPr>
      <t>512 Hz</t>
    </r>
    <r>
      <rPr>
        <sz val="11"/>
        <color theme="1"/>
        <rFont val="Times New Roman"/>
        <family val="1"/>
        <charset val="162"/>
      </rPr>
      <t xml:space="preserve"> frekansında sinyal üretecektir.</t>
    </r>
  </si>
  <si>
    <r>
      <t>·</t>
    </r>
    <r>
      <rPr>
        <sz val="7"/>
        <color theme="1"/>
        <rFont val="Times New Roman"/>
        <family val="1"/>
        <charset val="162"/>
      </rPr>
      <t xml:space="preserve">                 </t>
    </r>
    <r>
      <rPr>
        <sz val="11"/>
        <color theme="1"/>
        <rFont val="Times New Roman"/>
        <family val="1"/>
        <charset val="162"/>
      </rPr>
      <t xml:space="preserve">Sinyal, ilgili </t>
    </r>
    <r>
      <rPr>
        <b/>
        <sz val="11"/>
        <color theme="1"/>
        <rFont val="Times New Roman"/>
        <family val="1"/>
        <charset val="162"/>
      </rPr>
      <t>sinyal tespit detektörleri ile birkaç metre derinliğe kadar</t>
    </r>
    <r>
      <rPr>
        <sz val="11"/>
        <color theme="1"/>
        <rFont val="Times New Roman"/>
        <family val="1"/>
        <charset val="162"/>
      </rPr>
      <t xml:space="preserve"> tespit edilebilecektir (tipik olarak ~4.5 m ve üzeri).</t>
    </r>
  </si>
  <si>
    <r>
      <t>·</t>
    </r>
    <r>
      <rPr>
        <sz val="7"/>
        <color theme="1"/>
        <rFont val="Times New Roman"/>
        <family val="1"/>
        <charset val="162"/>
      </rPr>
      <t xml:space="preserve">                 </t>
    </r>
    <r>
      <rPr>
        <sz val="11"/>
        <color theme="1"/>
        <rFont val="Times New Roman"/>
        <family val="1"/>
        <charset val="162"/>
      </rPr>
      <t>Cihaz dayanıklı gövdeye sahip olacak ve saha kullanımında mekanik hasarlara karşı sağlamlık sunacaktır.</t>
    </r>
  </si>
  <si>
    <r>
      <t>·</t>
    </r>
    <r>
      <rPr>
        <sz val="7"/>
        <color theme="1"/>
        <rFont val="Times New Roman"/>
        <family val="1"/>
        <charset val="162"/>
      </rPr>
      <t xml:space="preserve">                 </t>
    </r>
    <r>
      <rPr>
        <sz val="11"/>
        <color theme="1"/>
        <rFont val="Times New Roman"/>
        <family val="1"/>
        <charset val="162"/>
      </rPr>
      <t>Cihazın LED göstergesi, sonda sinyal iletim durumunu gösterecektir.</t>
    </r>
  </si>
  <si>
    <t>Vivax-Metrotech D38</t>
  </si>
  <si>
    <t>Gaz Ölçüm Cihazı</t>
  </si>
  <si>
    <r>
      <t xml:space="preserve">Vivax-Metrotech Loc3-5Tx
Vivax-Metrotech Loc3-10Tx
Radiodetection Tx-5
Radiodetection Tx-10
SebaKMT (Megger) Loc3-5Tx </t>
    </r>
    <r>
      <rPr>
        <b/>
        <sz val="13"/>
        <color theme="1"/>
        <rFont val="Century Gothic"/>
        <family val="2"/>
        <charset val="162"/>
      </rPr>
      <t>Teklif edilecek ürüne ait bir yazılım olacak, bu yazılım Türkçe olarak ücretsiz olarak teslim edilecektir</t>
    </r>
  </si>
  <si>
    <r>
      <t>Teklif edilecek tüm cihazların teknik çalışma ömürleri en az 10 yıl olacaktır.'Tedarikçi, araç içi donanım ile ilgili çizim ve projeleri ( 3D ) imalattan önce idareye sunacaktır. (İdarenin gerek görmesi halinde çizim ve projelerde değişiklikler yapılabilecektir).1.11.Araç üzerine konması istenen logo ve yazılar idarece yapım aşamasında belirlenecektir. 1.12.Yapılan tüm araç içi revizyonlar projelendirilip ruhsata işlenecektir.</t>
    </r>
    <r>
      <rPr>
        <b/>
        <sz val="16"/>
        <color theme="1"/>
        <rFont val="Century Gothic"/>
        <family val="2"/>
        <charset val="162"/>
      </rPr>
      <t xml:space="preserve"> GARANTİ VE SERTİFİKALAR</t>
    </r>
    <r>
      <rPr>
        <sz val="16"/>
        <color theme="1"/>
        <rFont val="Century Gothic"/>
        <family val="2"/>
        <charset val="162"/>
      </rPr>
      <t xml:space="preserve">:1.Cihazlar imalat, malzeme, işçilik hatalarına karşı en az 2 yıl süre ile garant altında bulunacaktır. 
2.Teklif edilecek cihazların teknik ömrü en az 10 yıl olacaktır. Yüklenici firma bu zaman süresinde cihazın çalışması için gereksinim duyulacak malzemelerin teminini sağlamakla yükümlü olup, sistemin teknik ömrü süresince onarım ve servis garantisi verecektir. Servis hizmetleri için irtibat telefonu, irtibat adresi ve servisin ne şekilde sağlanacağı tekliflerde ayrıntılı olarak belirtilecektir.
3.Satıcı firma; üretici firmanın Türkiye’deki direkt yetkili satıcı olduğunu gösteren temsilcilik belgesine sahip olacaktır.
4.Teklif edilen ürünler CE standardına haiz olacak ve bu belgelendirilecektir. Yüklenici firma ISO 10002 :2018 Müşteri Memnuniyeti Yönetim Sistemi , ISO 9001:2015 Kalite Yönetim Sistemi, ISO 14001:2015 Çevre Yönetim Sistemi ve ISO 45001:2018 İş Sağlığı ve Güvenliği Yönetim Sistemi Kalite Sertifikalarına sahip olacak ve teklifler ile birlikte bu belgeleri sunacaktır. </t>
    </r>
  </si>
  <si>
    <r>
      <t xml:space="preserve">3        </t>
    </r>
    <r>
      <rPr>
        <sz val="12"/>
        <color theme="1"/>
        <rFont val="Arial"/>
        <family val="2"/>
        <charset val="162"/>
      </rPr>
      <t>Dedektör üzerinde bulunan patlayıcı gaz sensörü aşağıdaki özelliklere sahiptir.</t>
    </r>
  </si>
  <si>
    <r>
      <t xml:space="preserve">1.         </t>
    </r>
    <r>
      <rPr>
        <sz val="12"/>
        <color theme="1"/>
        <rFont val="Arial"/>
        <family val="2"/>
        <charset val="162"/>
      </rPr>
      <t>Dedektör portatif tipte olup; 1 adet katalitik sensör ile donatılmıştır.</t>
    </r>
  </si>
  <si>
    <r>
      <t xml:space="preserve">2.         </t>
    </r>
    <r>
      <rPr>
        <sz val="12"/>
        <color theme="1"/>
        <rFont val="Arial"/>
        <family val="2"/>
        <charset val="162"/>
      </rPr>
      <t>Dedektör bünyesinde bulunan sensör ile aşağıdaki gazları aşağıda belirtilen ölçüm aralıkları aralığında sürekli ölçerek; ekranda anlık ölçüm değerini göstermektedir.</t>
    </r>
  </si>
  <si>
    <r>
      <t xml:space="preserve">4         </t>
    </r>
    <r>
      <rPr>
        <sz val="12"/>
        <color theme="1"/>
        <rFont val="Arial"/>
        <family val="2"/>
        <charset val="162"/>
      </rPr>
      <t>Ölçülen gaz için ön alarm ve ana alarm olmak üzere iki farklı alarm seviyesi belirlenebilmekte; dedektörün ölçtüğü gaz konsantrasyonu; alarm eşik seviyesinin üzerinde olursa dedektör sesli; ışıklı ve titreşim ile alarm vererek kullanıcıyı uyarmaktadır.</t>
    </r>
  </si>
  <si>
    <r>
      <t xml:space="preserve">5      </t>
    </r>
    <r>
      <rPr>
        <sz val="12"/>
        <color theme="1"/>
        <rFont val="Arial"/>
        <family val="2"/>
        <charset val="162"/>
      </rPr>
      <t>Dedektör mikro işlemci kontrollü olup, iki seviyeli sesli, 360° görülebilecek ışıklı ve titreşimli alarma sahip olup ,cihazın sesli alarmının gücü 30 cm. mesafede 90 dB dir.</t>
    </r>
  </si>
  <si>
    <r>
      <t xml:space="preserve">6         </t>
    </r>
    <r>
      <rPr>
        <sz val="12"/>
        <color theme="1"/>
        <rFont val="Arial"/>
        <family val="2"/>
        <charset val="162"/>
      </rPr>
      <t>Dedektör ile güvenli bir saha operasyonu sağlanabilmesi için hassasiyet kalibrasyonu ve cihaz ayarları şifreli menü ile ulaşılabilir yapıdadır.</t>
    </r>
  </si>
  <si>
    <r>
      <t xml:space="preserve">7       </t>
    </r>
    <r>
      <rPr>
        <sz val="12"/>
        <color theme="1"/>
        <rFont val="Arial"/>
        <family val="2"/>
        <charset val="162"/>
      </rPr>
      <t>Dedektörün alarm seviyeleri herhangi bir güvenlik açığı oluşturmamak için ancak yazılım aracılığı ile bilgisayar üzerinden değiştirilebilir yapıdadır.</t>
    </r>
  </si>
  <si>
    <r>
      <t xml:space="preserve">8        </t>
    </r>
    <r>
      <rPr>
        <sz val="12"/>
        <color theme="1"/>
        <rFont val="Arial"/>
        <family val="2"/>
        <charset val="162"/>
      </rPr>
      <t>Dedektöre gazın difüzyon yolu hem üstten ve önden girebilecek şekilde tasarlanmıştır. Bu özellik sayesinde, yanlış kullanım sonucu gaz girişinde yaşanabilecek olumsuzluklar önlenebilmektedir.</t>
    </r>
  </si>
  <si>
    <r>
      <t xml:space="preserve">10       </t>
    </r>
    <r>
      <rPr>
        <sz val="12"/>
        <color theme="1"/>
        <rFont val="Arial"/>
        <family val="2"/>
        <charset val="162"/>
      </rPr>
      <t>Dedektör gösterge ekranı dijital LCD olup; karanlık ortamlar için gösterge aydınlatması kısa bir süre içerisinde otomatik olarak sönebilmektedir. Herhangi bir alarm durumunda; ekran aydınlatması otomatik olarak devreye girmektedir.</t>
    </r>
  </si>
  <si>
    <r>
      <t xml:space="preserve">11        </t>
    </r>
    <r>
      <rPr>
        <sz val="12"/>
        <color theme="1"/>
        <rFont val="Arial"/>
        <family val="2"/>
        <charset val="162"/>
      </rPr>
      <t>Dedektör -20 ile +50 0C ısı ve %10 ve %95 bağıl nem aralılarında çalışabilmektedir.</t>
    </r>
  </si>
  <si>
    <r>
      <t xml:space="preserve">12        </t>
    </r>
    <r>
      <rPr>
        <sz val="12"/>
        <color theme="1"/>
        <rFont val="Arial"/>
        <family val="2"/>
        <charset val="162"/>
      </rPr>
      <t>Dedektör tek elle taşınabilecek şekilde en fazla (EnXBoyXDerinlik) 50x130x45 mm. boyutlarında küçük, gömlek cebine ve kemere takılabilir şekilde dizayn edilmiş olup, ağırlığı yaklaşık ağırlığı 220 gram’dır.</t>
    </r>
  </si>
  <si>
    <r>
      <t xml:space="preserve">13       </t>
    </r>
    <r>
      <rPr>
        <sz val="12"/>
        <color theme="1"/>
        <rFont val="Arial"/>
        <family val="2"/>
        <charset val="162"/>
      </rPr>
      <t>Dedektörün kullanımı kolay ,tümleşik kauçuk ile kaplı ve koruma sınıfı IP 67 su ve toz geçirmez yapıdadır.</t>
    </r>
  </si>
  <si>
    <r>
      <t xml:space="preserve">14         </t>
    </r>
    <r>
      <rPr>
        <sz val="12"/>
        <color theme="1"/>
        <rFont val="Arial"/>
        <family val="2"/>
        <charset val="162"/>
      </rPr>
      <t>Dedektör NiMH yapıda şarj edilebilir batarya ve şarj aksesuarları ile birlikte verilmektedir.</t>
    </r>
  </si>
  <si>
    <r>
      <t xml:space="preserve">15    </t>
    </r>
    <r>
      <rPr>
        <sz val="12"/>
        <color theme="1"/>
        <rFont val="Arial"/>
        <family val="2"/>
        <charset val="162"/>
      </rPr>
      <t>Dedektör tam şarjlı NiMH batarya ile aralıksız 12 saatin üzerinde çalışabilmektedir.</t>
    </r>
  </si>
  <si>
    <r>
      <t xml:space="preserve">16     </t>
    </r>
    <r>
      <rPr>
        <sz val="12"/>
        <color theme="1"/>
        <rFont val="Arial"/>
        <family val="2"/>
        <charset val="162"/>
      </rPr>
      <t>Dedektör kapalı alan çalışmalarında kolay kullanımı sağlamak amacı ile harici bir pompa ile kullanıma uygundur. Harici pompa isteğe bağlı olup; set içeriğine dahil değildir.</t>
    </r>
  </si>
  <si>
    <r>
      <t xml:space="preserve">17     </t>
    </r>
    <r>
      <rPr>
        <sz val="12"/>
        <color theme="1"/>
        <rFont val="Arial"/>
        <family val="2"/>
        <charset val="162"/>
      </rPr>
      <t>Dedektör veri kaydedici özelliğine sahiptir. Dört adet sensörlü dedektörün; 1’er dakikalık aralıklarla ölçüm kaydı yapması halinde en az 1000 saatlik ölçüm değeri kayıt imkanına sahiptir.</t>
    </r>
  </si>
  <si>
    <r>
      <t xml:space="preserve">18      </t>
    </r>
    <r>
      <rPr>
        <sz val="12"/>
        <color theme="1"/>
        <rFont val="Arial"/>
        <family val="2"/>
        <charset val="162"/>
      </rPr>
      <t>Dedektör batarya hariç olarak 3 yıl boyunca üretim ve imalat hatalarına karşı garantilidir.</t>
    </r>
  </si>
  <si>
    <r>
      <t xml:space="preserve">19    </t>
    </r>
    <r>
      <rPr>
        <sz val="12"/>
        <color theme="1"/>
        <rFont val="Arial"/>
        <family val="2"/>
        <charset val="162"/>
      </rPr>
      <t>Dedektör, ATEX I M1 Ex ia I Ma, II 2G EEx ia d IIC T4/T3, IM 2 EEx ia d I CE işareti Elektromanyetik uyumluluk standartlara sahiptir.</t>
    </r>
  </si>
  <si>
    <r>
      <t xml:space="preserve">20        </t>
    </r>
    <r>
      <rPr>
        <sz val="12"/>
        <color theme="1"/>
        <rFont val="Arial"/>
        <family val="2"/>
        <charset val="162"/>
      </rPr>
      <t>Dedektör Türkçe Kullanma Kılavuzu ile birlikte teslim edilmektedir.</t>
    </r>
  </si>
  <si>
    <r>
      <t xml:space="preserve">21     </t>
    </r>
    <r>
      <rPr>
        <sz val="12"/>
        <color theme="1"/>
        <rFont val="Arial"/>
        <family val="2"/>
        <charset val="162"/>
      </rPr>
      <t>Draeger Safety Korunma Teknolojileri olarak Türkiye’de yerleşik teknik servisimiz bulunmaktadır.</t>
    </r>
  </si>
  <si>
    <r>
      <t xml:space="preserve">22     </t>
    </r>
    <r>
      <rPr>
        <sz val="12"/>
        <color theme="1"/>
        <rFont val="Arial"/>
        <family val="2"/>
        <charset val="162"/>
      </rPr>
      <t>Draeger Safety Korunma Teknolojileri olarak gaz algılama sistemleri satış ve servisi konusunda ISO 9001 kalite belgemiz bulunmaktadır.</t>
    </r>
  </si>
  <si>
    <t>Dräger X-am 2500</t>
  </si>
  <si>
    <t>Su Kaçak Tespit Termal Kamerası</t>
  </si>
  <si>
    <t>Termal Kamera</t>
  </si>
  <si>
    <r>
      <t xml:space="preserve">3.1. </t>
    </r>
    <r>
      <rPr>
        <sz val="11"/>
        <color theme="1"/>
        <rFont val="Times New Roman"/>
        <family val="1"/>
        <charset val="162"/>
      </rPr>
      <t xml:space="preserve"> Cihazın çalışma sıcaklığı aralığı -15 °C ila +50 °C olacaktır.</t>
    </r>
  </si>
  <si>
    <r>
      <t xml:space="preserve">3.2.  </t>
    </r>
    <r>
      <rPr>
        <sz val="11"/>
        <color theme="1"/>
        <rFont val="Times New Roman"/>
        <family val="1"/>
        <charset val="162"/>
      </rPr>
      <t>Cihazın depolama sıcaklık aralığı -40 °C ila +70 °C olacaktır.</t>
    </r>
  </si>
  <si>
    <r>
      <t xml:space="preserve">3.3. </t>
    </r>
    <r>
      <rPr>
        <sz val="11"/>
        <color theme="1"/>
        <rFont val="Times New Roman"/>
        <family val="1"/>
        <charset val="162"/>
      </rPr>
      <t>Dedektör boyutu en fazla 256X192@12 μ m olacaktır.</t>
    </r>
  </si>
  <si>
    <r>
      <t xml:space="preserve">3.4. </t>
    </r>
    <r>
      <rPr>
        <sz val="11"/>
        <color theme="1"/>
        <rFont val="Times New Roman"/>
        <family val="1"/>
        <charset val="162"/>
      </rPr>
      <t>Görüntü yenileme hızı 25 Hz olacaktır</t>
    </r>
  </si>
  <si>
    <r>
      <t xml:space="preserve">3.5. </t>
    </r>
    <r>
      <rPr>
        <sz val="11"/>
        <color theme="1"/>
        <rFont val="Times New Roman"/>
        <family val="1"/>
        <charset val="162"/>
      </rPr>
      <t>Termal Duyarlılığı 45 mK olacaktır.</t>
    </r>
  </si>
  <si>
    <r>
      <t xml:space="preserve">3.6. </t>
    </r>
    <r>
      <rPr>
        <sz val="11"/>
        <color theme="1"/>
        <rFont val="Times New Roman"/>
        <family val="1"/>
        <charset val="162"/>
      </rPr>
      <t>Kameranın odak uzunluğu 3.2 mm olacaktır.</t>
    </r>
  </si>
  <si>
    <r>
      <t xml:space="preserve">3.7. </t>
    </r>
    <r>
      <rPr>
        <sz val="11"/>
        <color theme="1"/>
        <rFont val="Times New Roman"/>
        <family val="1"/>
        <charset val="162"/>
      </rPr>
      <t>Görüş açısı/minimum odaklanma mesafesi 56°X48° olacaktır.</t>
    </r>
  </si>
  <si>
    <r>
      <t xml:space="preserve">3.8. </t>
    </r>
    <r>
      <rPr>
        <sz val="11"/>
        <color theme="1"/>
        <rFont val="Times New Roman"/>
        <family val="1"/>
        <charset val="162"/>
      </rPr>
      <t>Geometrik çözünürlüğü (IFOV) 3.75 mrad olacaktır.</t>
    </r>
  </si>
  <si>
    <r>
      <t xml:space="preserve">3.9. </t>
    </r>
    <r>
      <rPr>
        <sz val="11"/>
        <color theme="1"/>
        <rFont val="Times New Roman"/>
        <family val="1"/>
        <charset val="162"/>
      </rPr>
      <t>Kamera sabit odaklı olacaktır.</t>
    </r>
  </si>
  <si>
    <r>
      <t xml:space="preserve">3.10. </t>
    </r>
    <r>
      <rPr>
        <sz val="11"/>
        <color theme="1"/>
        <rFont val="Times New Roman"/>
        <family val="1"/>
        <charset val="162"/>
      </rPr>
      <t>Kamera çözünürlüğü 2 megapiksel olacaktır.</t>
    </r>
  </si>
  <si>
    <r>
      <t xml:space="preserve">3.11. </t>
    </r>
    <r>
      <rPr>
        <sz val="11"/>
        <color theme="1"/>
        <rFont val="Times New Roman"/>
        <family val="1"/>
        <charset val="162"/>
      </rPr>
      <t>Cihazda aydınlatma feneri bulunacaktır.</t>
    </r>
  </si>
  <si>
    <r>
      <t xml:space="preserve">3.12. </t>
    </r>
    <r>
      <rPr>
        <sz val="11"/>
        <color theme="1"/>
        <rFont val="Times New Roman"/>
        <family val="1"/>
        <charset val="162"/>
      </rPr>
      <t>Ekran boyutu 2.4 inch olup, LCD ekrana sahip olacaktır. Ekran çözünürlüğü 240x320 olacaktır.</t>
    </r>
  </si>
  <si>
    <r>
      <t xml:space="preserve">3.13. </t>
    </r>
    <r>
      <rPr>
        <sz val="11"/>
        <color theme="1"/>
        <rFont val="Times New Roman"/>
        <family val="1"/>
        <charset val="162"/>
      </rPr>
      <t>IR/MIF/PIP Görüntü Formatı: Sıcaklık verili jpg formatı (256*192) ;Görünür ışık görüntü formatı: sıcaklık verisiz jpg formatı (240*320)’na sahip olacaktır.</t>
    </r>
  </si>
  <si>
    <r>
      <t xml:space="preserve">3.14. </t>
    </r>
    <r>
      <rPr>
        <sz val="11"/>
        <color theme="1"/>
        <rFont val="Times New Roman"/>
        <family val="1"/>
        <charset val="162"/>
      </rPr>
      <t>Sıcaklık ölçüm aralığı -20°C-150°C olacak olup, 100°C-550°C otomatik seçim oalcaktır.</t>
    </r>
  </si>
  <si>
    <r>
      <t xml:space="preserve">3.15. </t>
    </r>
    <r>
      <rPr>
        <sz val="11"/>
        <color theme="1"/>
        <rFont val="Times New Roman"/>
        <family val="1"/>
        <charset val="162"/>
      </rPr>
      <t>Ölçüm doğruluk oranı ±2% olacak olup, ölçüm noktası merkez nokta olacaktır.</t>
    </r>
  </si>
  <si>
    <r>
      <t xml:space="preserve">3.16. </t>
    </r>
    <r>
      <rPr>
        <sz val="11"/>
        <color theme="1"/>
        <rFont val="Times New Roman"/>
        <family val="1"/>
        <charset val="162"/>
      </rPr>
      <t>Cihazın Otomatik Sıcak &amp; Soğuk Nokta Analiz olacaktır.</t>
    </r>
  </si>
  <si>
    <r>
      <t xml:space="preserve">3.17. </t>
    </r>
    <r>
      <rPr>
        <sz val="11"/>
        <color theme="1"/>
        <rFont val="Times New Roman"/>
        <family val="1"/>
        <charset val="162"/>
      </rPr>
      <t>Cihazda lazer, tripod arayüzü, dahili led lamba bulunacak olup mobil uygulama ve PC IR analiz yazılım ile uyumlu olacaktır.</t>
    </r>
  </si>
  <si>
    <r>
      <t xml:space="preserve">3.18. </t>
    </r>
    <r>
      <rPr>
        <sz val="11"/>
        <color theme="1"/>
        <rFont val="Times New Roman"/>
        <family val="1"/>
        <charset val="162"/>
      </rPr>
      <t>Cihaz, Şarj Edilebilir Li-iyon Bataryaya sahip olacaktır. Çalışma süresi 16 saat olacaktır. Bataryanın şarj süresi maksimum 2.5 saat olacaktır.</t>
    </r>
  </si>
  <si>
    <r>
      <t xml:space="preserve">3.19. </t>
    </r>
    <r>
      <rPr>
        <sz val="11"/>
        <color theme="1"/>
        <rFont val="Times New Roman"/>
        <family val="1"/>
        <charset val="162"/>
      </rPr>
      <t>Cihazın boyutları 194 mm × 61.5 mm × 76 mm olacaktır. Ağırlığı maksimum 375 gram olacaktır.</t>
    </r>
  </si>
  <si>
    <r>
      <t xml:space="preserve">3.20. </t>
    </r>
    <r>
      <rPr>
        <sz val="11"/>
        <color theme="1"/>
        <rFont val="Times New Roman"/>
        <family val="1"/>
        <charset val="162"/>
      </rPr>
      <t>Cihazın koruma sınıfı IP 54 olup, 2 metreye kadar düşmeye dayanıklı olacaktır.</t>
    </r>
  </si>
  <si>
    <t>Guide Sensmart - PC210</t>
  </si>
  <si>
    <t>Küçük Kanal Kamerası</t>
  </si>
  <si>
    <t>Kanal Kamerası</t>
  </si>
  <si>
    <t>2.1. Kamera Başlığı</t>
  </si>
  <si>
    <t>2.1.1. Kamera başlığı en fazla 18mm (0.70") çapında olacaktır.</t>
  </si>
  <si>
    <t>2.1.2. Kamera başlığı en az 1080p HD çözünürlük sunacaktır.</t>
  </si>
  <si>
    <t>2.1.3. Lens, safir camdan yapılmış ve çizilmeye karşı dayanıklı olacaktır.</t>
  </si>
  <si>
    <t>2.1.4. Kamera başlığı minimum 48 lümen ultra parlak LED ışık kaynağına sahip olacaktır.</t>
  </si>
  <si>
    <t>2.1.5. Kamera, 11 BAR basınca kadar su geçirmez özellikte olacaktır.</t>
  </si>
  <si>
    <t>2.1.6. Kamera başlığı en az 90 derece görüş açısına sahip olacaktır.</t>
  </si>
  <si>
    <t>2.1.7. Kamera başlığının odak noktası sabit olup 100mm olacaktır.</t>
  </si>
  <si>
    <t>2.1.8. Kamera, kendi kendine düzeltme mekanizması olmadan sabit pozisyonda çalışacaktır.</t>
  </si>
  <si>
    <t>2.2. İtme Kablosu</t>
  </si>
  <si>
    <t>2.2.1. İtme kablosunun uzunluğu 70 veya 100 fit (21m veya 30m) olacaktır.</t>
  </si>
  <si>
    <t>2.2.2. İtme kablosunun çapı 9mm olacaktır.</t>
  </si>
  <si>
    <t>2.2.3. İtme kablosu, P-trap ve tuvalet tuzaklarını kolayca geçebilir özellikte olacaktır.</t>
  </si>
  <si>
    <t>2.2.4. İtme kablosunun minimum kırılma dayanımı 500 lb (2.2 kN) olacaktır.</t>
  </si>
  <si>
    <t>2.2.5. İtme kablosu, -10°C ile +50°C arasındaki çalışma sıcaklık aralığında çalışabilir olacaktır.</t>
  </si>
  <si>
    <t>2.3. Makara Sistemi</t>
  </si>
  <si>
    <t>2.3.1. Makara sistemi, 100 fit versiyonu için en fazla 17 lbs (7.7 kg) ağırlığında olacaktır.</t>
  </si>
  <si>
    <t>2.3.2. Makara sistemi, yüksek darbe dayanımlı ABS enjeksiyon kalıptan yapılacaktır.</t>
  </si>
  <si>
    <t>2.3.3. Makara sistemi IP65 çevre dayanıklılığı standardına uygun olacaktır.</t>
  </si>
  <si>
    <t>2.3.4. Dahili lityum-iyon batarya, 12 saatlik kullanım sağlayacaktır.</t>
  </si>
  <si>
    <t>2.3.5. Batarya, maksimum 6 saat içinde tamamen şarj edilebilecektir.</t>
  </si>
  <si>
    <t>2.4. Mobil Uygulama (VMC)</t>
  </si>
  <si>
    <t>2.4.1. Uygulama, kamera LED kontrolü, mesafe sayacı sıfırlama, sonde aktivasyonu, metin yazma, kayıt ve paylaşım özelliklerini sunacaktır.</t>
  </si>
  <si>
    <t>2.4.2. Uygulama, MP4 formatında (1920 x 1080) video kayıt edebilecektir.</t>
  </si>
  <si>
    <t>2.4.3. JPEG formatında (1920 x 1080, 96 dpi) görüntü kayıt edebilecektir.</t>
  </si>
  <si>
    <t>2.4.4. Wi-Fi bağlantı mesafesi en az 10 metre olacaktır.</t>
  </si>
  <si>
    <t>2.4.5. En az 128 GB kapasiteli USB sürücüleri destekleyecektir.</t>
  </si>
  <si>
    <t>2.5. Sonde Özellikleri</t>
  </si>
  <si>
    <t>2.5.1. Sonde, 512Hz, 640Hz veya 33kHz frekanslarında çalışabilecektir.</t>
  </si>
  <si>
    <t>2.5.2. Sonde, minimum 9 fit (3m) derinlikte bulunabilir olacaktır.</t>
  </si>
  <si>
    <t>Tablet Adaptörü</t>
  </si>
  <si>
    <t>Ek Yönlendiriciler</t>
  </si>
  <si>
    <r>
      <t xml:space="preserve">Vivax-Metrotech vCamMX-2 Ürün yanda yer alan ana başlıkların tümünün dahil olduğu bir set halinde geliyor.(Başılk, itme kablosu, Makara sistemi, Mobil uygulama ve Sonde) </t>
    </r>
    <r>
      <rPr>
        <b/>
        <sz val="13"/>
        <color theme="1"/>
        <rFont val="Century Gothic"/>
        <family val="2"/>
        <charset val="162"/>
      </rPr>
      <t>4.1. Sistem, taşıma çantası, rehber kaydırıcılar ve gerekli tüm aksesuarlar ile birlikte teslim edilecektir.
4.2. Opsiyonel aksesuarlar arasında tablet adaptörü ve ek yönlendiriciler yer alacaktı</t>
    </r>
    <r>
      <rPr>
        <sz val="13"/>
        <color theme="1"/>
        <rFont val="Century Gothic"/>
        <family val="2"/>
        <charset val="162"/>
      </rPr>
      <t xml:space="preserve">r.Bu maddelerde yer alan ekipmanlar sete dahil olmayıp opsiyonel olabilir. </t>
    </r>
  </si>
  <si>
    <t>Opsiyonel olabilir</t>
  </si>
  <si>
    <t>Endoskop Kamera</t>
  </si>
  <si>
    <t>Kamera</t>
  </si>
  <si>
    <t>Cihazın kamera ünitesi en az IP67 koruma sınıfına sahip olacak ve nemli ortamlarda veya su altında çalışmaya uygun olacaktır.</t>
  </si>
  <si>
    <t>Yarı sert veya esnek kablo seçenekleri ile sunulacak</t>
  </si>
  <si>
    <t>Cihaz dahili şarjlı batarya ile çalışacak ve tam şarj durumunda en az üç saat kesintisiz kullanım sağlayacaktır.</t>
  </si>
  <si>
    <t>Cihaz üzerinde en az 4.3 inç büyüklüğünde LCD ekran bulunacaktır</t>
  </si>
  <si>
    <t>Kamera sistemi minimum 1920 x 1080 piksel çözünürlüğünde görüntü verecek</t>
  </si>
  <si>
    <t>Görüntüler gerçek zamanlı olarak izlenebilecek ve inceleme sırasında küçük kusurların tespitine imkân tanıyacaktır.</t>
  </si>
  <si>
    <t>Ekran kullanımında herhangi bir mobil telefon, kablosuz bağlantı veya harici uygulama gerekmeyecektir.</t>
  </si>
  <si>
    <t>Kamera başlığı maksimum 8 mm çapında olacak</t>
  </si>
  <si>
    <t>Kamera görüş açısı yaklaşık 70 derece olacak ve minimum 4 cm ile maksimum 500 cm arası odaklama mesafesinde görüntü alabilecektir.</t>
  </si>
  <si>
    <t>Kamera etrafında bulunan en az 8 adet LED ışık sayesinde düşük aydınlatmalı ortamlarda net görüntü elde edilecek, ışık seviyesi operatör tarafından ayarlanabilir olacaktır.</t>
  </si>
  <si>
    <t>Kamera ünitesi IP67 koruma sınıfına sahip olacak ve suya dayanıklı yapıda üretilecektir.</t>
  </si>
  <si>
    <t>Cihaz yarı sert veya esnek kablo seçenekleri ile sunulacaktır. Kablo uzunluğu saha ihtiyacına bağlı olarak yaklaşık 2 metre, 5 metre veya 10 metre seçeneklerine sahip olabilecektir.</t>
  </si>
  <si>
    <t>Kablo yapısı, operatörün kamera yönlendirmesini kolaylaştıracak şekilde stabil fakat yeterli esneklikte olacaktır. Kablo dış kaplaması saha şartlarına dayanıklı ve uzun süreli kullanım için uygun malzemeden üretilecektir.</t>
  </si>
  <si>
    <t>Batarya kapasitesi minimum 2600 mAh olacak ve tam şarj sonrası yaklaşık 3–5 saat çalışma süresi sağlayacaktır.</t>
  </si>
  <si>
    <t>Cihaz şarj kablosu ile birlikte teslim edilecek ve güvenli şarj devresine sahip olacaktır.</t>
  </si>
  <si>
    <t>Cihaz gövdesi darbelere dayanıklı ABS veya eşdeğer malzemeden üretilecektir. Ana ünitenin boyutları yaklaşık 145 x 85 x 18 mm ölçülerinde olacak ve taşınabilir kullanıma uygun hafif yapıda olacaktır.</t>
  </si>
  <si>
    <t>Endoskop kamera sistemi, şarj kablosu, kullanım kılavuzu ve montaj/taşıma aksesuarı (toka veya eşdeğeri) standart teslimat kapsamında bulunacaktır.</t>
  </si>
  <si>
    <t>Inskam - 430 veya Inskam - G30</t>
  </si>
  <si>
    <t>Boru Boğma Aparatı</t>
  </si>
  <si>
    <t>Boğma Aparatı</t>
  </si>
  <si>
    <t>Aparat manuel kullanım için tasarlanmış olacaktır.</t>
  </si>
  <si>
    <t>Mengene tipi sıkıştırma mekanizmasına sahip olacaktır.</t>
  </si>
  <si>
    <t>Plastik borular üzerinde güvenli sıkma işlemi yapabilecektir.</t>
  </si>
  <si>
    <t>Boru yüzeyine zarar vermeden geçici akış kesme işlemi gerçekleştirebilecektir.</t>
  </si>
  <si>
    <t>Ergonomik tasarıma sahip olacak ve tek operatör tarafından rahatlıkla kullanılabilecektir.</t>
  </si>
  <si>
    <t>Gövde yapısı saha şartlarına uygun dayanıklılıkta olacaktır.</t>
  </si>
  <si>
    <t>Cihaz gövdesi dayanıklı metal malzemeden imal edilmiş olacaktır.</t>
  </si>
  <si>
    <t>Korozyona karşı dayanıklı yüzey kaplamasına sahip olacaktır.</t>
  </si>
  <si>
    <t>Mekanik aksam uzun süreli kullanıma uygun sağlamlıkta olacaktır.</t>
  </si>
  <si>
    <t>Hareketli parçalar sık kullanımda deformasyona uğramayacak yapıda olacaktır.</t>
  </si>
  <si>
    <t>Plastik borular (kangal boru vb.) üzerinde kullanılabilir olacaktır.</t>
  </si>
  <si>
    <t>Su tesisat hatlarında bakım ve onarım işlemlerinde kullanılacaktır.</t>
  </si>
  <si>
    <t>Boru kısma ve geçici su kesme işlemlerinde etkin şekilde görev yapacaktır.</t>
  </si>
  <si>
    <t>İç ve dış saha uygulamalarına uygun olacaktır</t>
  </si>
  <si>
    <t>Cihaz, operatör güvenliğini sağlayacak şekilde tasarlanmış olacaktır.</t>
  </si>
  <si>
    <t>Kontrollü sıkma mekanizması sayesinde ani basınç uygulamasını engelleyecektir.</t>
  </si>
  <si>
    <t>Kaymaz tutma yüzeyine sahip olacaktır.</t>
  </si>
  <si>
    <t>Uzun süreli kullanımlarda operatör konforu sağlayacaktır.</t>
  </si>
  <si>
    <t>Reed Manufacturing - PES1 / PES2 Serisi</t>
  </si>
  <si>
    <t>Universal Vana ve Hidrant Anahtarı</t>
  </si>
  <si>
    <t>Cihaz, farklı vana ve hidrant mil şekil ve ölçülerine uyum sağlayacak şekilde tasarlanmış olacaktır.</t>
  </si>
  <si>
    <t>Kırık, hasarlı veya eksik mil kapaklarında dahi mekanik kavrama sağlayarak vana çalıştırma işlemini gerçekleştirecektir</t>
  </si>
  <si>
    <t>Bilinen tüm vana ve hidrant mil tiplerine uyum sağlayacaktır.</t>
  </si>
  <si>
    <t>Hasarlı veya düzensiz şekilli mil başlıklarında kullanılabilecektir.</t>
  </si>
  <si>
    <t>Gaz ve su vanaları ile yangın hidrantlarında kullanılmaya uygun olacaktır.</t>
  </si>
  <si>
    <t>Ürün sağlam ve ağır hizmet tipi yapıda olacaktır.</t>
  </si>
  <si>
    <t>Gövde kaynaklı çelik konstrüksiyon olacaktır.</t>
  </si>
  <si>
    <t>Yüzeyi elektrostatik toz boya ile kaplanmış olacaktır.</t>
  </si>
  <si>
    <t>Hidrant uygulamaları için alüminyum versiyon mevcut olacaktır.</t>
  </si>
  <si>
    <t>Diğer vana tipleri için çelik versiyon kullanılacaktır.</t>
  </si>
  <si>
    <t>Ürün 2 parçadan oluşacaktır.</t>
  </si>
  <si>
    <t xml:space="preserve">Uzunlukları 50 santimetreden uzun olmalıdır. </t>
  </si>
  <si>
    <t>T kol tasarımı sayesinde operatöre yüksek tork uygulama imkânı sağlayacaktır.</t>
  </si>
  <si>
    <t>Derin vanaların çalıştırılması sırasında fiziksel zorlanma riskini azaltacaktır.</t>
  </si>
  <si>
    <t>Lazer Mesafe Ölçer</t>
  </si>
  <si>
    <t>Lazermetre</t>
  </si>
  <si>
    <t>Vana Anahtarı</t>
  </si>
  <si>
    <r>
      <t>·</t>
    </r>
    <r>
      <rPr>
        <sz val="7"/>
        <color theme="1"/>
        <rFont val="Times New Roman"/>
        <family val="1"/>
        <charset val="162"/>
      </rPr>
      <t xml:space="preserve">        </t>
    </r>
    <r>
      <rPr>
        <sz val="11"/>
        <color theme="1"/>
        <rFont val="Times New Roman"/>
        <family val="1"/>
        <charset val="162"/>
      </rPr>
      <t xml:space="preserve">Maksimum ölçüm mesafesi en az </t>
    </r>
    <r>
      <rPr>
        <b/>
        <sz val="11"/>
        <color theme="1"/>
        <rFont val="Times New Roman"/>
        <family val="1"/>
        <charset val="162"/>
      </rPr>
      <t>40 metre</t>
    </r>
    <r>
      <rPr>
        <sz val="11"/>
        <color theme="1"/>
        <rFont val="Times New Roman"/>
        <family val="1"/>
        <charset val="162"/>
      </rPr>
      <t xml:space="preserve"> olacaktır.</t>
    </r>
  </si>
  <si>
    <r>
      <t>·</t>
    </r>
    <r>
      <rPr>
        <sz val="7"/>
        <color theme="1"/>
        <rFont val="Times New Roman"/>
        <family val="1"/>
        <charset val="162"/>
      </rPr>
      <t xml:space="preserve">        </t>
    </r>
    <r>
      <rPr>
        <sz val="11"/>
        <color theme="1"/>
        <rFont val="Times New Roman"/>
        <family val="1"/>
        <charset val="162"/>
      </rPr>
      <t>Ölçüm doğruluğu ±1,5 mm veya daha iyi olacaktır.</t>
    </r>
  </si>
  <si>
    <r>
      <t>·</t>
    </r>
    <r>
      <rPr>
        <sz val="7"/>
        <color theme="1"/>
        <rFont val="Times New Roman"/>
        <family val="1"/>
        <charset val="162"/>
      </rPr>
      <t xml:space="preserve">        </t>
    </r>
    <r>
      <rPr>
        <sz val="11"/>
        <color theme="1"/>
        <rFont val="Times New Roman"/>
        <family val="1"/>
        <charset val="162"/>
      </rPr>
      <t xml:space="preserve">Cihaz en az </t>
    </r>
    <r>
      <rPr>
        <b/>
        <sz val="11"/>
        <color theme="1"/>
        <rFont val="Times New Roman"/>
        <family val="1"/>
        <charset val="162"/>
      </rPr>
      <t>10 ölçüm hafızasına</t>
    </r>
    <r>
      <rPr>
        <sz val="11"/>
        <color theme="1"/>
        <rFont val="Times New Roman"/>
        <family val="1"/>
        <charset val="162"/>
      </rPr>
      <t xml:space="preserve"> sahip olacaktır.</t>
    </r>
  </si>
  <si>
    <r>
      <t>·</t>
    </r>
    <r>
      <rPr>
        <sz val="7"/>
        <color theme="1"/>
        <rFont val="Times New Roman"/>
        <family val="1"/>
        <charset val="162"/>
      </rPr>
      <t xml:space="preserve">        </t>
    </r>
    <r>
      <rPr>
        <sz val="11"/>
        <color theme="1"/>
        <rFont val="Times New Roman"/>
        <family val="1"/>
        <charset val="162"/>
      </rPr>
      <t>LCD ekranlı olacaktır (minimum 1,6 inç).</t>
    </r>
  </si>
  <si>
    <r>
      <t>·</t>
    </r>
    <r>
      <rPr>
        <sz val="7"/>
        <color theme="1"/>
        <rFont val="Times New Roman"/>
        <family val="1"/>
        <charset val="162"/>
      </rPr>
      <t xml:space="preserve">        </t>
    </r>
    <r>
      <rPr>
        <sz val="11"/>
        <color theme="1"/>
        <rFont val="Times New Roman"/>
        <family val="1"/>
        <charset val="162"/>
      </rPr>
      <t>Ölçüm birimleri metre / feet / inch olacaktır.</t>
    </r>
  </si>
  <si>
    <r>
      <t>·</t>
    </r>
    <r>
      <rPr>
        <sz val="7"/>
        <color theme="1"/>
        <rFont val="Times New Roman"/>
        <family val="1"/>
        <charset val="162"/>
      </rPr>
      <t xml:space="preserve">        </t>
    </r>
    <r>
      <rPr>
        <sz val="11"/>
        <color theme="1"/>
        <rFont val="Times New Roman"/>
        <family val="1"/>
        <charset val="162"/>
      </rPr>
      <t>Tekli ölçüm, sürekli ölçüm, maksimum-minimum değer takibi, alan ve hacim hesaplama ve Pisagor fonksiyonları olacaktır.</t>
    </r>
  </si>
  <si>
    <r>
      <t>·</t>
    </r>
    <r>
      <rPr>
        <sz val="7"/>
        <color theme="1"/>
        <rFont val="Times New Roman"/>
        <family val="1"/>
        <charset val="162"/>
      </rPr>
      <t xml:space="preserve">        </t>
    </r>
    <r>
      <rPr>
        <sz val="11"/>
        <color theme="1"/>
        <rFont val="Times New Roman"/>
        <family val="1"/>
        <charset val="162"/>
      </rPr>
      <t>Class 2 lazer sınıfında olacaktır.</t>
    </r>
  </si>
  <si>
    <r>
      <t>·</t>
    </r>
    <r>
      <rPr>
        <sz val="7"/>
        <color theme="1"/>
        <rFont val="Times New Roman"/>
        <family val="1"/>
        <charset val="162"/>
      </rPr>
      <t xml:space="preserve">        </t>
    </r>
    <r>
      <rPr>
        <sz val="11"/>
        <color theme="1"/>
        <rFont val="Times New Roman"/>
        <family val="1"/>
        <charset val="162"/>
      </rPr>
      <t>Dalga boyu yaklaşık 635 nm olacaktır.</t>
    </r>
  </si>
  <si>
    <r>
      <t>·</t>
    </r>
    <r>
      <rPr>
        <sz val="7"/>
        <color theme="1"/>
        <rFont val="Times New Roman"/>
        <family val="1"/>
        <charset val="162"/>
      </rPr>
      <t xml:space="preserve">        </t>
    </r>
    <r>
      <rPr>
        <sz val="11"/>
        <color theme="1"/>
        <rFont val="Times New Roman"/>
        <family val="1"/>
        <charset val="162"/>
      </rPr>
      <t>Otomatik kapanma süresi yaklaşık 5 dakika olacaktır.</t>
    </r>
  </si>
  <si>
    <r>
      <t>·</t>
    </r>
    <r>
      <rPr>
        <sz val="7"/>
        <color theme="1"/>
        <rFont val="Times New Roman"/>
        <family val="1"/>
        <charset val="162"/>
      </rPr>
      <t xml:space="preserve">        </t>
    </r>
    <r>
      <rPr>
        <sz val="11"/>
        <color theme="1"/>
        <rFont val="Times New Roman"/>
        <family val="1"/>
        <charset val="162"/>
      </rPr>
      <t>IP54 koruma sınıfına sahip olacaktır.</t>
    </r>
  </si>
  <si>
    <r>
      <t>·</t>
    </r>
    <r>
      <rPr>
        <sz val="7"/>
        <color theme="1"/>
        <rFont val="Times New Roman"/>
        <family val="1"/>
        <charset val="162"/>
      </rPr>
      <t xml:space="preserve">        </t>
    </r>
    <r>
      <rPr>
        <sz val="11"/>
        <color theme="1"/>
        <rFont val="Times New Roman"/>
        <family val="1"/>
        <charset val="162"/>
      </rPr>
      <t>CE ve RoHS uygunluğu bulunacaktır.</t>
    </r>
  </si>
  <si>
    <r>
      <t>·</t>
    </r>
    <r>
      <rPr>
        <sz val="7"/>
        <color theme="1"/>
        <rFont val="Times New Roman"/>
        <family val="1"/>
        <charset val="162"/>
      </rPr>
      <t xml:space="preserve">        </t>
    </r>
    <r>
      <rPr>
        <sz val="11"/>
        <color theme="1"/>
        <rFont val="Times New Roman"/>
        <family val="1"/>
        <charset val="162"/>
      </rPr>
      <t>En az 2 yıl garanti kapsamında olacaktır.</t>
    </r>
  </si>
  <si>
    <t>Bosch - GLM 40 Professional</t>
  </si>
  <si>
    <t>Akülü Darbeli Matkap Seti</t>
  </si>
  <si>
    <t>Matkap Seti</t>
  </si>
  <si>
    <t>Akülü Darbeli Matkap Teknik Özellikleri</t>
  </si>
  <si>
    <t>Profesyonel ve yoğun saha kullanımına uygun dayanıklı yapı.</t>
  </si>
  <si>
    <t>Darbeli delme, normal delme ve vidalama fonksiyonlarını tek gövdede birleştirme.</t>
  </si>
  <si>
    <t>Minimum 18 V gerilimle çalışan Lityum İyon (Li-Ion) akü sistemi.</t>
  </si>
  <si>
    <t>En az 2.0 Ah kapasiteli akü.</t>
  </si>
  <si>
    <t>Set içerisinde en az bir adet 18 V Li-Ion akü.</t>
  </si>
  <si>
    <t>İki mekanik hız kademeli şanzıman yapısı.</t>
  </si>
  <si>
    <t>Düşük hız kademesi: 0–500 devir/dakika.</t>
  </si>
  <si>
    <t>Yüksek hız kademesi: 0–1900 devir/dakika.</t>
  </si>
  <si>
    <t>Maksimum tork değeri: En az 50 Nm.</t>
  </si>
  <si>
    <t>Darbe mekanizması performansı: En az 28.000 darbe/dakika.</t>
  </si>
  <si>
    <t>Mandren kapasitesi: 1.5 mm – 13 mm aralığında.</t>
  </si>
  <si>
    <t>Hızlı uç değişimine uygun anahtarsız mandren yapısı.</t>
  </si>
  <si>
    <t>Çalışma alanını aydınlatmak için dahili LED ışık.</t>
  </si>
  <si>
    <t>Uzun ömürlü kullanım için metal veya eşdeğer dayanıklı şanzıman malzemesi.</t>
  </si>
  <si>
    <t>Akü dahil toplam ağırlık: 1.3 kg ile 1.5 kg aralığında.</t>
  </si>
  <si>
    <t>Ergonomik tasarım ve tek elle rahat kullanım imkanı.</t>
  </si>
  <si>
    <t>Akü sağlığını koruyan elektronik koruma devreli şarj sistemi.</t>
  </si>
  <si>
    <t>100 Parçalı Matkap ve Vidalama Ucu Seti Özellikleri</t>
  </si>
  <si>
    <t>Minimum 100 parçadan oluşan çok amaçlı aksesuar içeriği.</t>
  </si>
  <si>
    <t>Metal yüzeyler için uygun yüksek dayanımlı matkap uçları.</t>
  </si>
  <si>
    <t>Ahşap yüzeyler için uygun matkap uçları.</t>
  </si>
  <si>
    <t>Beton ve duvar yüzeyler için uygun darbeli matkap uçları.</t>
  </si>
  <si>
    <t>Phillips (PH) tipi vidalama uçları.</t>
  </si>
  <si>
    <t>Pozidriv (PZ) tipi vidalama uçları.</t>
  </si>
  <si>
    <t>Torx (T) tipi vidalama uçları.</t>
  </si>
  <si>
    <t>Düz (SL) tipi vidalama uçları.</t>
  </si>
  <si>
    <t>Altıgen (Hex) tipi vidalama uçları.</t>
  </si>
  <si>
    <t>Dar alanlar için uzun tip vidalama uçları.</t>
  </si>
  <si>
    <t>Farklı ölçülerde lokma başlıkları.</t>
  </si>
  <si>
    <t>Mıknatıslı (manyetik) uç tutucu aparat.</t>
  </si>
  <si>
    <t>Manuel kullanıma uygun cırcırlı tornavida.</t>
  </si>
  <si>
    <t>Tüm uçların yüksek dayanımlı (S2 veya eşdeğer) çelikten imal edilmiş olması.</t>
  </si>
  <si>
    <t>Darbeye dayanıklı, düzenli yerleşim sağlayan özel plastik taşıma kutusu.</t>
  </si>
  <si>
    <t>Taşıma Çantası ve Teslimat Şartları</t>
  </si>
  <si>
    <t>Cihaz ve tüm aksesuarları içine alan dayanıklı kumaş taşıma çantası veya sırt çantası.</t>
  </si>
  <si>
    <t>Güçlendirilmiş dikiş yapısı ve saha kullanımına uygun ergonomik askı/kol sistemi.</t>
  </si>
  <si>
    <t>Set içeriği: Matkap, akü, şarj cihazı, 100 parça uç seti, aksesuar kutusu ve taşıma çantası.</t>
  </si>
  <si>
    <t>Cihaz için en az 2 (iki) yıl garanti süresi.</t>
  </si>
  <si>
    <t>Garanti süresi boyunca yedek parça ve teknik servis desteği.</t>
  </si>
  <si>
    <t>Ürünlerin yeni, kullanılmamış ve kusursuz teslim edilmesi.</t>
  </si>
  <si>
    <t>Bosch - GSB 18V-50 (100 Parçalı Aksesuar Setli Versiyon)</t>
  </si>
  <si>
    <t>Dijital El Telsizi</t>
  </si>
  <si>
    <t>Telsiz</t>
  </si>
  <si>
    <t>Kurum içi haberleşme ve saha koordinasyonuna uygun profesyonel yapı.</t>
  </si>
  <si>
    <t>Dijital ve analog haberleşme teknolojilerini eş zamanlı destekleme.</t>
  </si>
  <si>
    <t>Lisans gerektirmeyen (PMR 446) frekans bandında çalışma.</t>
  </si>
  <si>
    <t>Sesli iletişimi güvenli ve kesintisiz sağlayan dijital ses teknolojisi.</t>
  </si>
  <si>
    <t>Programlanabilir özellikler ile farklı çalışma senaryolarına uyum.</t>
  </si>
  <si>
    <t>Saha kullanımına uygun, darbeye dayanıklı ve ergonomik tasarım.</t>
  </si>
  <si>
    <t>Dijital ve analog modlar arasında otomatik tarama (Scan) yapabilme.</t>
  </si>
  <si>
    <t>Bölge seçilebilir frekans yapılandırmasına sahip olma.</t>
  </si>
  <si>
    <t>Kullanıcı güvenliği için acil durum uyarı (Emergency Alert) fonksiyonu.</t>
  </si>
  <si>
    <t>Yüksek ve düşük güç çıkışı seçimli enerji optimizasyonu.</t>
  </si>
  <si>
    <t>Göndergeç zaman sınırlayıcı (TOT - Time Out Timer) özelliği.</t>
  </si>
  <si>
    <t>Meşgul kanalda gönderme kilidi (BCL - Busy Channel Lockout) özelliği.</t>
  </si>
  <si>
    <t>Kullanılmadığında devreye giren otomatik pil tasarruf modu.</t>
  </si>
  <si>
    <t>Kullanıcı tarafından atanabilir/programlanabilir yan tuşlar.</t>
  </si>
  <si>
    <t>En az 10 seviyeli hassasiyet ayarına sahip VOX (Sesle İletim) fonksiyonu.</t>
  </si>
  <si>
    <t>Bilgisayar bağlantısı ile yazılım üzerinden frekans ve fonksiyon programlama.</t>
  </si>
  <si>
    <t>Şantiye, güvenlik, teknik servis ve bakım ekipleri için uygun yapı.</t>
  </si>
  <si>
    <t>Teslimat kapsamı: Telsiz, batarya, şarj cihazı, anten ve bel klipsi.</t>
  </si>
  <si>
    <t>Garanti süresi boyunca yetkili servis ve yedek parça desteği.</t>
  </si>
  <si>
    <t>Hytera PD365LF veya Motorola XT660d</t>
  </si>
  <si>
    <t>Şeritmetre</t>
  </si>
  <si>
    <t>Kazma</t>
  </si>
  <si>
    <t>Kürek</t>
  </si>
  <si>
    <t>Tekerlekmetre</t>
  </si>
  <si>
    <t>2.1 Geri Görüş Kamerası</t>
  </si>
  <si>
    <t>2.1 Park Sensörü</t>
  </si>
  <si>
    <t>2.2 Yön Cihazı</t>
  </si>
  <si>
    <t>Raf Sistemi</t>
  </si>
  <si>
    <t xml:space="preserve">Tüm tespit cihazları için raf donanımı ve bölmeleri olacaktır. 
Raf bölmeleri 0,6 mm kalınlığında DKP sac malzemeden imal edilecektir
Sac malzemeler Elektro Statik toz boya ile fırınlama metoduyla boyama işleminden geçirilecektir
Dolap renkleri yapım aşamasında idare tarafından belirlenecektir
</t>
  </si>
  <si>
    <t>Elektrik prizi</t>
  </si>
  <si>
    <t>Tüm ekipmaları yerinde şarj edebilecek adette</t>
  </si>
  <si>
    <t>Acil Durum Butonu</t>
  </si>
  <si>
    <t>3.11 Araç içi elektrik tesisatı beslemesini derhal kesebilecek "Acil Durdurma Butonu" olacaktır</t>
  </si>
  <si>
    <t>3.12 Gece çalışmaları için, aracın arka kısmına monteli en az 2 adet 12V halojen aydınlatma
lambaları olacaktır.</t>
  </si>
  <si>
    <t>Manivela</t>
  </si>
  <si>
    <t>Etajer</t>
  </si>
  <si>
    <t>3 Çekmeceli</t>
  </si>
  <si>
    <t>Şartnamenin son 2 sayfasında yer alan 5.Malzeme Listesi kapsamındaki tüm ekipmanın konulabileceği dolap sistemi uygulaması yapılacaktır.</t>
  </si>
  <si>
    <t>Sandalye</t>
  </si>
  <si>
    <t>Tekerleksiz ofis sandalyesi (Döner ve ortopedik)</t>
  </si>
  <si>
    <t>3.</t>
  </si>
  <si>
    <t>MANOMETRE</t>
  </si>
  <si>
    <t xml:space="preserve"> Alıcı (Receiver)</t>
  </si>
  <si>
    <t>Schonstedt Rex Magnetic Locator</t>
  </si>
  <si>
    <t>GPR</t>
  </si>
  <si>
    <t>14.05..2026</t>
  </si>
  <si>
    <t>1 TB Hard Disk</t>
  </si>
  <si>
    <r>
      <t>1.1.</t>
    </r>
    <r>
      <rPr>
        <sz val="14"/>
        <color theme="1"/>
        <rFont val="Arial"/>
        <family val="2"/>
        <charset val="162"/>
      </rPr>
      <t>Tüm panel-van bölümünün yeterli aydınlatması olacaktır.</t>
    </r>
  </si>
  <si>
    <r>
      <rPr>
        <b/>
        <sz val="14"/>
        <color theme="1"/>
        <rFont val="Arial"/>
        <family val="2"/>
        <charset val="162"/>
      </rPr>
      <t>1.13</t>
    </r>
    <r>
      <rPr>
        <sz val="14"/>
        <color theme="1"/>
        <rFont val="Arial"/>
        <family val="2"/>
        <charset val="162"/>
      </rPr>
      <t>.Araçta, emniyetli seyir ve çalışma için gerekli tüm cihaz ve aksesuarlar ile Türk Karayolları kanunu ve tüzüklerine uygun aydınlatma, işaret ve ikaz lambaları bulunacaktır.</t>
    </r>
  </si>
  <si>
    <r>
      <t xml:space="preserve">
Vivax-Metrotech vLoc3-5000
</t>
    </r>
    <r>
      <rPr>
        <b/>
        <sz val="15"/>
        <color theme="1"/>
        <rFont val="Century Gothic"/>
        <family val="2"/>
        <charset val="162"/>
      </rPr>
      <t>Şartname 12 ve 13. Sayfa</t>
    </r>
  </si>
  <si>
    <t>GPS Cihazı</t>
  </si>
  <si>
    <r>
      <t>Hassas Konumlandırma Desteği:</t>
    </r>
    <r>
      <rPr>
        <sz val="11"/>
        <color theme="1"/>
        <rFont val="Aptos Narrow"/>
        <family val="2"/>
        <charset val="162"/>
        <scheme val="minor"/>
      </rPr>
      <t xml:space="preserve"> Cihaz, sahadaki su kaçağı veya boru güzergahı noktalarını yüksek doğrulukla işaretleyebilmek için sadece standart GPS değil; </t>
    </r>
    <r>
      <rPr>
        <b/>
        <sz val="11"/>
        <color theme="1"/>
        <rFont val="Aptos Narrow"/>
        <family val="2"/>
        <charset val="162"/>
        <scheme val="minor"/>
      </rPr>
      <t>GLONASS, GALILEO ve BEIDOU</t>
    </r>
    <r>
      <rPr>
        <sz val="11"/>
        <color theme="1"/>
        <rFont val="Aptos Narrow"/>
        <family val="2"/>
        <charset val="162"/>
        <scheme val="minor"/>
      </rPr>
      <t xml:space="preserve"> uydu sistemlerini de destekleyen yüksek hassasiyetli bir chipsete sahip olmalıdır.</t>
    </r>
  </si>
  <si>
    <r>
      <t>CBS (Coğrafi Bilgi Sistemi) Uyumluluğu:</t>
    </r>
    <r>
      <rPr>
        <sz val="11"/>
        <color theme="1"/>
        <rFont val="Aptos Narrow"/>
        <family val="2"/>
        <charset val="162"/>
        <scheme val="minor"/>
      </rPr>
      <t xml:space="preserve"> Cihaz, alınan koordinat verilerini (Enlem/Boylam/Yükseklik) Google Earth (KML/KMZ), GIS veya AutoCAD gibi mühendislik yazılımlarına aktarabilecek formatta veri kaydedebilmelidir.</t>
    </r>
  </si>
  <si>
    <r>
      <t>Harici Cihaz Entegrasyonu:</t>
    </r>
    <r>
      <rPr>
        <sz val="11"/>
        <color theme="1"/>
        <rFont val="Aptos Narrow"/>
        <family val="2"/>
        <charset val="162"/>
        <scheme val="minor"/>
      </rPr>
      <t xml:space="preserve"> Araçta bulunan "Akustik Su Kaçak Tespit Cihazı" ve "Boru/Kablo Tespit Cihazı" ile kablosuz (Bluetooth/Wi-Fi) veya kablolu olarak haberleşebilmeli; tespit edilen arızanın üzerine koordinat bilgisini otomatik işleyebilmelidir.</t>
    </r>
  </si>
  <si>
    <r>
      <t>Veri Günlüğü ve PC Yazılımı:</t>
    </r>
    <r>
      <rPr>
        <sz val="11"/>
        <color theme="1"/>
        <rFont val="Aptos Narrow"/>
        <family val="2"/>
        <charset val="162"/>
        <scheme val="minor"/>
      </rPr>
      <t xml:space="preserve"> Sahada kaydedilen tüm noktaların bilgisayar ortamında analiz edilmesi ve raporlanması için cihazla birlikte üreticiye ait orijinal </t>
    </r>
    <r>
      <rPr>
        <b/>
        <sz val="11"/>
        <color theme="1"/>
        <rFont val="Aptos Narrow"/>
        <family val="2"/>
        <charset val="162"/>
        <scheme val="minor"/>
      </rPr>
      <t>Türkçe/İngilizce arayüzlü PC yazılımı</t>
    </r>
    <r>
      <rPr>
        <sz val="11"/>
        <color theme="1"/>
        <rFont val="Aptos Narrow"/>
        <family val="2"/>
        <charset val="162"/>
        <scheme val="minor"/>
      </rPr>
      <t xml:space="preserve"> ücretsiz olarak verilmelidir.</t>
    </r>
  </si>
  <si>
    <r>
      <t>Dış Ortam Dayanıklılığı (IP Sınıfı):</t>
    </r>
    <r>
      <rPr>
        <sz val="11"/>
        <color theme="1"/>
        <rFont val="Aptos Narrow"/>
        <family val="2"/>
        <charset val="162"/>
        <scheme val="minor"/>
      </rPr>
      <t xml:space="preserve"> Şantiye ve saha koşullarında kullanılacağı için cihaz en az </t>
    </r>
    <r>
      <rPr>
        <b/>
        <sz val="11"/>
        <color theme="1"/>
        <rFont val="Aptos Narrow"/>
        <family val="2"/>
        <charset val="162"/>
        <scheme val="minor"/>
      </rPr>
      <t>IP67</t>
    </r>
    <r>
      <rPr>
        <sz val="11"/>
        <color theme="1"/>
        <rFont val="Aptos Narrow"/>
        <family val="2"/>
        <charset val="162"/>
        <scheme val="minor"/>
      </rPr>
      <t xml:space="preserve"> (suya ve toza tam koruma) koruma sınıfına sahip olmalı ve askeri standartlarda (MIL-STD-810) darbe dayanıklılığı testlerinden geçmiş olmalıdır.</t>
    </r>
  </si>
  <si>
    <r>
      <t>Ekran ve Okunabilirlik:</t>
    </r>
    <r>
      <rPr>
        <sz val="11"/>
        <color theme="1"/>
        <rFont val="Aptos Narrow"/>
        <family val="2"/>
        <charset val="162"/>
        <scheme val="minor"/>
      </rPr>
      <t xml:space="preserve"> Gün ışığı altında (direkt güneş ışığında) rahatça okunabilen, yansıma yapmayan, renkli ve yüksek çözünürlüklü dokunmatik ekranı bulunmalıdır.</t>
    </r>
  </si>
  <si>
    <r>
      <t>Uzun Pil Ömrü:</t>
    </r>
    <r>
      <rPr>
        <sz val="11"/>
        <color theme="1"/>
        <rFont val="Aptos Narrow"/>
        <family val="2"/>
        <charset val="162"/>
        <scheme val="minor"/>
      </rPr>
      <t xml:space="preserve"> Sahada kesintisiz çalışma için tam şarj ile en az </t>
    </r>
    <r>
      <rPr>
        <b/>
        <sz val="11"/>
        <color theme="1"/>
        <rFont val="Aptos Narrow"/>
        <family val="2"/>
        <charset val="162"/>
        <scheme val="minor"/>
      </rPr>
      <t>12-16 saat</t>
    </r>
    <r>
      <rPr>
        <sz val="11"/>
        <color theme="1"/>
        <rFont val="Aptos Narrow"/>
        <family val="2"/>
        <charset val="162"/>
        <scheme val="minor"/>
      </rPr>
      <t xml:space="preserve"> kullanım ömrü sunmalı ve pilleri sahada kolayca değiştirilebilir veya USB üzerinden şarj edilebilir yapıda olmalıdır.</t>
    </r>
  </si>
  <si>
    <r>
      <t>Dahili Hafıza:</t>
    </r>
    <r>
      <rPr>
        <sz val="11"/>
        <color theme="1"/>
        <rFont val="Aptos Narrow"/>
        <family val="2"/>
        <charset val="162"/>
        <scheme val="minor"/>
      </rPr>
      <t xml:space="preserve"> En az 10.000 noktanın koordinatını ve bu noktalara ait detaylı bilgileri (arıza tipi, derinlik vb.) saklayabilecek geniş bir dahili belleğe veya artırılabilir SD kart desteğine sahip olmalıdır.</t>
    </r>
  </si>
  <si>
    <r>
      <t>Kullanım Kolaylığı (Ergonomi):</t>
    </r>
    <r>
      <rPr>
        <sz val="11"/>
        <color theme="1"/>
        <rFont val="Aptos Narrow"/>
        <family val="2"/>
        <charset val="162"/>
        <scheme val="minor"/>
      </rPr>
      <t xml:space="preserve"> Tek el ile kullanıma uygun, elden kaymayan ergonomik yapıda olmalı ve ağırlığı (piller dahil) operatörü yormayacak şekilde (maksimum 300-400 gr) olmalıdır.</t>
    </r>
  </si>
  <si>
    <r>
      <t>Aksesuar Seti:</t>
    </r>
    <r>
      <rPr>
        <sz val="11"/>
        <color theme="1"/>
        <rFont val="Aptos Narrow"/>
        <family val="2"/>
        <charset val="162"/>
        <scheme val="minor"/>
      </rPr>
      <t xml:space="preserve"> Cihaz; orijinal koruma çantası, bilgisayar bağlantı kabloları, şarj cihazı ve (şartnamede isteniyorsa) sahada hassas ölçüm için jalon (tutma sopası) ile birlikte set olarak teslim edilmelidir.</t>
    </r>
  </si>
  <si>
    <t>GPS</t>
  </si>
  <si>
    <t>Trimble TDC600</t>
  </si>
  <si>
    <t>adet</t>
  </si>
  <si>
    <t>addet</t>
  </si>
  <si>
    <t>Ürün Departmanı 
tarafından ölçü gelecek.</t>
  </si>
  <si>
    <t>Garmin eTrex 32x El Tipi Gps Cihazı (GARMİN TÜRKİYE)</t>
  </si>
  <si>
    <t>Keller LEO 1</t>
  </si>
  <si>
    <t>Sewerin A200</t>
  </si>
  <si>
    <t>1 set olarak fiyat belirtilmiştir. Sewerin A200</t>
  </si>
  <si>
    <t>1 SET OLARAK FİYAT VERİLMİŞTİR.Sewerin A150</t>
  </si>
  <si>
    <t>SEPEM 150 10 'LU LOGGER SET+SEPEM 01 MASTER KONTROL ÜNİTESİ</t>
  </si>
  <si>
    <t>Dräger X-am 2800</t>
  </si>
  <si>
    <t>ÇELİK</t>
  </si>
  <si>
    <t>ALÜMİNYUM</t>
  </si>
  <si>
    <t>SET OLARAK FİYATLANDIRMA YAPILMIŞTIR.Trimble R980 GNSS Alıcı+Trimble R980 Gezici Konfigurasyonu+Trimble TDC6 Kontrol Ünitesi</t>
  </si>
  <si>
    <t>set olarak fiyat verilmiştir. 2 yıl lisanslıdır.5 yıl lisanslı olursa 35000 euro'dur</t>
  </si>
  <si>
    <t>VM 880</t>
  </si>
  <si>
    <t>)</t>
  </si>
  <si>
    <t xml:space="preserve">Reed Manufacturing - PES1 </t>
  </si>
  <si>
    <t>Vivax-Metrotech vCamMX-2</t>
  </si>
  <si>
    <t>Birim Fiayt</t>
  </si>
  <si>
    <t>Birim Fiyat &gt;EURO/Dolar</t>
  </si>
  <si>
    <t>Toplam TL</t>
  </si>
  <si>
    <t>set</t>
  </si>
  <si>
    <t>TEKLİF</t>
  </si>
  <si>
    <t>TEKLİF 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</si>
</sst>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2]\ * #,##0.00_-;\-[$€-2]\ * #,##0.00_-;_-[$€-2]\ * &quot;-&quot;??_-;_-@_-"/>
    <numFmt numFmtId="165" formatCode="_-[$₺-41F]* #,##0.00_-;\-[$₺-41F]* #,##0.00_-;_-[$₺-41F]* &quot;-&quot;??_-;_-@_-"/>
    <numFmt numFmtId="166" formatCode="_-[$$-409]* #,##0.00_ ;_-[$$-409]* \-#,##0.00\ ;_-[$$-409]* &quot;-&quot;??_ ;_-@_ "/>
  </numFmts>
  <fonts count="39"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sz val="8"/>
      <name val="Aptos Narrow"/>
      <family val="2"/>
      <charset val="162"/>
      <scheme val="minor"/>
    </font>
    <font>
      <sz val="14"/>
      <color theme="1"/>
      <name val="Arial"/>
      <family val="2"/>
      <charset val="162"/>
    </font>
    <font>
      <b/>
      <sz val="14"/>
      <color theme="1"/>
      <name val="Arial"/>
      <family val="2"/>
      <charset val="162"/>
    </font>
    <font>
      <sz val="15"/>
      <color theme="1"/>
      <name val="Arial"/>
      <family val="2"/>
      <charset val="162"/>
    </font>
    <font>
      <b/>
      <sz val="15"/>
      <color theme="1"/>
      <name val="Arial"/>
      <family val="2"/>
      <charset val="162"/>
    </font>
    <font>
      <sz val="14"/>
      <color theme="1"/>
      <name val="Times New Roman"/>
      <family val="1"/>
      <charset val="162"/>
    </font>
    <font>
      <sz val="14"/>
      <color rgb="FF000000"/>
      <name val="Times New Roman"/>
      <family val="1"/>
      <charset val="162"/>
    </font>
    <font>
      <b/>
      <sz val="14"/>
      <color rgb="FF000000"/>
      <name val="Arial"/>
      <family val="2"/>
      <charset val="162"/>
    </font>
    <font>
      <sz val="14"/>
      <color rgb="FF000000"/>
      <name val="Arial"/>
      <family val="2"/>
      <charset val="162"/>
    </font>
    <font>
      <b/>
      <sz val="16"/>
      <color theme="1"/>
      <name val="Century Gothic"/>
      <family val="2"/>
      <charset val="162"/>
    </font>
    <font>
      <u/>
      <sz val="14"/>
      <color theme="1"/>
      <name val="Arial"/>
      <family val="2"/>
      <charset val="162"/>
    </font>
    <font>
      <b/>
      <u/>
      <sz val="14"/>
      <color theme="1"/>
      <name val="Arial"/>
      <family val="2"/>
      <charset val="162"/>
    </font>
    <font>
      <sz val="11"/>
      <color theme="1"/>
      <name val="Times New Roman"/>
      <family val="1"/>
      <charset val="162"/>
    </font>
    <font>
      <b/>
      <sz val="11"/>
      <color theme="1"/>
      <name val="Times New Roman"/>
      <family val="1"/>
      <charset val="162"/>
    </font>
    <font>
      <sz val="11"/>
      <color theme="1"/>
      <name val="Symbol"/>
      <family val="1"/>
      <charset val="2"/>
    </font>
    <font>
      <sz val="7"/>
      <color theme="1"/>
      <name val="Times New Roman"/>
      <family val="1"/>
      <charset val="162"/>
    </font>
    <font>
      <b/>
      <sz val="7"/>
      <color theme="1"/>
      <name val="Times New Roman"/>
      <family val="1"/>
      <charset val="162"/>
    </font>
    <font>
      <sz val="13"/>
      <color rgb="FFFF0000"/>
      <name val="Century Gothic"/>
      <family val="2"/>
      <charset val="162"/>
    </font>
    <font>
      <b/>
      <sz val="13"/>
      <color rgb="FFFF0000"/>
      <name val="Century Gothic"/>
      <family val="2"/>
      <charset val="162"/>
    </font>
    <font>
      <b/>
      <sz val="11"/>
      <color theme="1"/>
      <name val="Aptos Narrow"/>
      <family val="2"/>
      <charset val="162"/>
      <scheme val="minor"/>
    </font>
    <font>
      <b/>
      <sz val="13"/>
      <color theme="1"/>
      <name val="Century Gothic"/>
      <family val="2"/>
      <charset val="162"/>
    </font>
    <font>
      <b/>
      <sz val="13"/>
      <color theme="1"/>
      <name val="Arial"/>
      <family val="2"/>
      <charset val="162"/>
    </font>
    <font>
      <b/>
      <sz val="12"/>
      <color theme="1"/>
      <name val="Arial"/>
      <family val="2"/>
      <charset val="162"/>
    </font>
    <font>
      <sz val="12"/>
      <color theme="1"/>
      <name val="Arial"/>
      <family val="2"/>
      <charset val="162"/>
    </font>
    <font>
      <b/>
      <sz val="13.5"/>
      <color theme="1"/>
      <name val="Aptos Narrow"/>
      <family val="2"/>
      <charset val="162"/>
      <scheme val="minor"/>
    </font>
    <font>
      <b/>
      <sz val="15"/>
      <color theme="1"/>
      <name val="Century Gothic"/>
      <family val="2"/>
      <charset val="162"/>
    </font>
    <font>
      <b/>
      <sz val="20"/>
      <color theme="1"/>
      <name val="Century Gothic"/>
      <family val="2"/>
      <charset val="162"/>
    </font>
  </fonts>
  <fills count="9">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rgb="FFCCCCCC"/>
      </left>
      <right style="medium">
        <color rgb="FFCCCCCC"/>
      </right>
      <top style="medium">
        <color rgb="FFCCCCCC"/>
      </top>
      <bottom style="medium">
        <color rgb="FFCCCCCC"/>
      </bottom>
      <diagonal/>
    </border>
    <border>
      <left/>
      <right style="medium">
        <color rgb="FFCCCCCC"/>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top/>
      <bottom/>
      <diagonal/>
    </border>
    <border>
      <left/>
      <right style="thin">
        <color indexed="64"/>
      </right>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rgb="FFCCCCCC"/>
      </right>
      <top style="medium">
        <color indexed="64"/>
      </top>
      <bottom/>
      <diagonal/>
    </border>
    <border>
      <left style="medium">
        <color rgb="FFCCCCCC"/>
      </left>
      <right/>
      <top style="medium">
        <color indexed="64"/>
      </top>
      <bottom/>
      <diagonal/>
    </border>
    <border>
      <left style="medium">
        <color indexed="64"/>
      </left>
      <right style="medium">
        <color rgb="FFCCCCCC"/>
      </right>
      <top/>
      <bottom/>
      <diagonal/>
    </border>
    <border>
      <left style="medium">
        <color indexed="64"/>
      </left>
      <right style="medium">
        <color rgb="FFCCCCCC"/>
      </right>
      <top/>
      <bottom style="medium">
        <color indexed="64"/>
      </bottom>
      <diagonal/>
    </border>
    <border>
      <left style="medium">
        <color rgb="FFCCCCCC"/>
      </left>
      <right/>
      <top/>
      <bottom style="medium">
        <color indexed="64"/>
      </bottom>
      <diagonal/>
    </border>
    <border>
      <left/>
      <right style="thin">
        <color indexed="64"/>
      </right>
      <top/>
      <bottom style="medium">
        <color indexed="64"/>
      </bottom>
      <diagonal/>
    </border>
    <border>
      <left style="medium">
        <color indexed="64"/>
      </left>
      <right style="medium">
        <color rgb="FFCCCCCC"/>
      </right>
      <top style="medium">
        <color indexed="64"/>
      </top>
      <bottom style="medium">
        <color indexed="64"/>
      </bottom>
      <diagonal/>
    </border>
    <border>
      <left style="medium">
        <color rgb="FFCCCCCC"/>
      </left>
      <right style="medium">
        <color rgb="FFCCCCCC"/>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rgb="FFCCCCCC"/>
      </left>
      <right style="medium">
        <color rgb="FFCCCCCC"/>
      </right>
      <top style="medium">
        <color indexed="64"/>
      </top>
      <bottom style="medium">
        <color rgb="FFCCCCCC"/>
      </bottom>
      <diagonal/>
    </border>
    <border>
      <left style="medium">
        <color rgb="FFCCCCCC"/>
      </left>
      <right style="medium">
        <color rgb="FFCCCCCC"/>
      </right>
      <top style="medium">
        <color rgb="FFCCCCCC"/>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style="medium">
        <color rgb="FFCCCCCC"/>
      </right>
      <top style="medium">
        <color indexed="64"/>
      </top>
      <bottom style="medium">
        <color rgb="FFCCCCCC"/>
      </bottom>
      <diagonal/>
    </border>
    <border>
      <left style="medium">
        <color indexed="64"/>
      </left>
      <right style="medium">
        <color rgb="FFCCCCCC"/>
      </right>
      <top style="medium">
        <color rgb="FFCCCCCC"/>
      </top>
      <bottom style="medium">
        <color rgb="FFCCCCCC"/>
      </bottom>
      <diagonal/>
    </border>
    <border>
      <left style="medium">
        <color indexed="64"/>
      </left>
      <right style="medium">
        <color rgb="FFCCCCCC"/>
      </right>
      <top style="medium">
        <color rgb="FFCCCCCC"/>
      </top>
      <bottom style="medium">
        <color indexed="64"/>
      </bottom>
      <diagonal/>
    </border>
    <border>
      <left style="medium">
        <color rgb="FFCCCCCC"/>
      </left>
      <right style="medium">
        <color rgb="FFCCCCCC"/>
      </right>
      <top/>
      <bottom style="medium">
        <color indexed="64"/>
      </bottom>
      <diagonal/>
    </border>
    <border>
      <left style="medium">
        <color indexed="64"/>
      </left>
      <right/>
      <top style="medium">
        <color indexed="64"/>
      </top>
      <bottom style="medium">
        <color indexed="64"/>
      </bottom>
      <diagonal/>
    </border>
  </borders>
  <cellStyleXfs count="3">
    <xf numFmtId="0" fontId="0" fillId="0" borderId="0"/>
    <xf numFmtId="0" fontId="1" fillId="0" borderId="0"/>
    <xf numFmtId="44" fontId="2" fillId="0" borderId="0" applyFont="0" applyFill="0" applyBorder="0" applyAlignment="0" applyProtection="0"/>
  </cellStyleXfs>
  <cellXfs count="377">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6" fillId="2" borderId="31" xfId="0" applyFont="1" applyFill="1" applyBorder="1" applyAlignment="1">
      <alignment wrapText="1"/>
    </xf>
    <xf numFmtId="0" fontId="13" fillId="0" borderId="32" xfId="0" applyFont="1" applyBorder="1" applyAlignment="1">
      <alignment horizontal="center" vertical="center" wrapText="1"/>
    </xf>
    <xf numFmtId="0" fontId="13" fillId="7" borderId="32" xfId="0" applyFont="1" applyFill="1" applyBorder="1" applyAlignment="1">
      <alignment wrapText="1"/>
    </xf>
    <xf numFmtId="0" fontId="13" fillId="0" borderId="35" xfId="0" applyFont="1" applyBorder="1" applyAlignment="1">
      <alignment horizontal="center" vertical="center" wrapText="1"/>
    </xf>
    <xf numFmtId="0" fontId="7" fillId="5" borderId="38" xfId="0" applyFont="1" applyFill="1" applyBorder="1" applyAlignment="1">
      <alignment horizontal="center" vertical="center"/>
    </xf>
    <xf numFmtId="0" fontId="7" fillId="4" borderId="38" xfId="0" applyFont="1" applyFill="1" applyBorder="1" applyAlignment="1">
      <alignment horizontal="center" vertical="center" wrapText="1"/>
    </xf>
    <xf numFmtId="0" fontId="13" fillId="0" borderId="39" xfId="0" applyFont="1" applyBorder="1" applyAlignment="1">
      <alignment horizontal="center" vertical="center" wrapText="1"/>
    </xf>
    <xf numFmtId="0" fontId="7" fillId="4" borderId="36" xfId="0" applyFont="1" applyFill="1" applyBorder="1" applyAlignment="1">
      <alignment horizontal="center" vertical="center" wrapText="1"/>
    </xf>
    <xf numFmtId="0" fontId="7" fillId="5" borderId="36" xfId="0" applyFont="1" applyFill="1" applyBorder="1" applyAlignment="1">
      <alignment horizontal="center" vertical="center"/>
    </xf>
    <xf numFmtId="0" fontId="13" fillId="0" borderId="34" xfId="0" applyFont="1" applyBorder="1" applyAlignment="1">
      <alignment horizontal="center" vertical="center" wrapText="1"/>
    </xf>
    <xf numFmtId="0" fontId="7" fillId="4" borderId="36" xfId="0" applyFont="1" applyFill="1" applyBorder="1" applyAlignment="1">
      <alignment horizontal="center" vertical="center"/>
    </xf>
    <xf numFmtId="0" fontId="7" fillId="4" borderId="37" xfId="0" applyFont="1" applyFill="1" applyBorder="1" applyAlignment="1">
      <alignment horizontal="center" vertical="center"/>
    </xf>
    <xf numFmtId="0" fontId="7" fillId="4" borderId="38" xfId="0" applyFont="1" applyFill="1" applyBorder="1" applyAlignment="1">
      <alignment horizontal="center" vertical="center"/>
    </xf>
    <xf numFmtId="0" fontId="14" fillId="0" borderId="33" xfId="0" applyFont="1" applyBorder="1" applyAlignment="1">
      <alignment horizontal="center" vertical="center" wrapText="1"/>
    </xf>
    <xf numFmtId="0" fontId="32" fillId="4" borderId="1" xfId="0" applyFont="1" applyFill="1" applyBorder="1" applyAlignment="1">
      <alignment horizontal="center" vertical="center" wrapText="1"/>
    </xf>
    <xf numFmtId="0" fontId="7" fillId="5" borderId="4" xfId="0" applyFont="1" applyFill="1" applyBorder="1" applyAlignment="1">
      <alignment horizontal="center" vertical="center"/>
    </xf>
    <xf numFmtId="0" fontId="19" fillId="0" borderId="8" xfId="0" applyFont="1" applyBorder="1" applyAlignment="1">
      <alignment horizontal="justify" vertical="center"/>
    </xf>
    <xf numFmtId="0" fontId="19" fillId="0" borderId="11" xfId="0" applyFont="1" applyBorder="1" applyAlignment="1">
      <alignment horizontal="justify" vertical="center"/>
    </xf>
    <xf numFmtId="0" fontId="19" fillId="0" borderId="11" xfId="0" applyFont="1" applyBorder="1"/>
    <xf numFmtId="0" fontId="13" fillId="0" borderId="8" xfId="0" applyFont="1" applyBorder="1" applyAlignment="1">
      <alignment horizontal="justify" vertical="center"/>
    </xf>
    <xf numFmtId="0" fontId="13" fillId="3" borderId="46" xfId="0" applyFont="1" applyFill="1" applyBorder="1" applyAlignment="1">
      <alignment horizontal="justify" vertical="center"/>
    </xf>
    <xf numFmtId="0" fontId="15" fillId="0" borderId="48" xfId="0" applyFont="1" applyBorder="1" applyAlignment="1">
      <alignment wrapText="1"/>
    </xf>
    <xf numFmtId="0" fontId="7" fillId="4" borderId="49" xfId="0" applyFont="1" applyFill="1" applyBorder="1" applyAlignment="1">
      <alignment horizontal="center" vertical="center" wrapText="1"/>
    </xf>
    <xf numFmtId="0" fontId="14" fillId="0" borderId="8" xfId="0" applyFont="1" applyBorder="1" applyAlignment="1">
      <alignment horizontal="justify" vertical="center"/>
    </xf>
    <xf numFmtId="0" fontId="7" fillId="5" borderId="50" xfId="0" applyFont="1" applyFill="1" applyBorder="1" applyAlignment="1">
      <alignment horizontal="center" vertical="center"/>
    </xf>
    <xf numFmtId="0" fontId="7" fillId="3" borderId="36" xfId="0" applyFont="1" applyFill="1" applyBorder="1" applyAlignment="1">
      <alignment horizontal="center" vertical="center" wrapText="1"/>
    </xf>
    <xf numFmtId="0" fontId="7" fillId="3" borderId="38" xfId="0" applyFont="1" applyFill="1" applyBorder="1" applyAlignment="1">
      <alignment horizontal="center" vertical="center" wrapText="1"/>
    </xf>
    <xf numFmtId="165" fontId="7" fillId="3" borderId="38" xfId="2" applyNumberFormat="1" applyFont="1" applyFill="1" applyBorder="1" applyAlignment="1">
      <alignment horizontal="center" vertical="center"/>
    </xf>
    <xf numFmtId="0" fontId="19" fillId="0" borderId="1" xfId="0" applyFont="1" applyBorder="1" applyAlignment="1">
      <alignment horizontal="justify" vertical="center"/>
    </xf>
    <xf numFmtId="0" fontId="3" fillId="0" borderId="1" xfId="0" applyFont="1" applyBorder="1"/>
    <xf numFmtId="0" fontId="13" fillId="0" borderId="33" xfId="0" applyFont="1" applyBorder="1" applyAlignment="1">
      <alignment horizontal="center" vertical="center" wrapText="1"/>
    </xf>
    <xf numFmtId="0" fontId="7" fillId="4" borderId="19"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19" fillId="0" borderId="23" xfId="0" applyFont="1" applyBorder="1" applyAlignment="1">
      <alignment horizontal="justify" vertical="center"/>
    </xf>
    <xf numFmtId="0" fontId="13" fillId="0" borderId="11" xfId="0" applyFont="1" applyBorder="1" applyAlignment="1">
      <alignment vertical="center"/>
    </xf>
    <xf numFmtId="0" fontId="14" fillId="0" borderId="8" xfId="0" applyFont="1" applyBorder="1" applyAlignment="1">
      <alignment wrapText="1"/>
    </xf>
    <xf numFmtId="0" fontId="14" fillId="0" borderId="11" xfId="0" applyFont="1" applyBorder="1" applyAlignment="1">
      <alignment wrapText="1"/>
    </xf>
    <xf numFmtId="0" fontId="14" fillId="0" borderId="11" xfId="0" applyFont="1" applyBorder="1" applyAlignment="1">
      <alignment horizontal="justify" vertical="center"/>
    </xf>
    <xf numFmtId="0" fontId="13" fillId="7" borderId="35" xfId="0" applyFont="1" applyFill="1" applyBorder="1" applyAlignment="1">
      <alignment wrapText="1"/>
    </xf>
    <xf numFmtId="0" fontId="7" fillId="4" borderId="21" xfId="0" applyFont="1" applyFill="1" applyBorder="1" applyAlignment="1">
      <alignment horizontal="center" vertical="center"/>
    </xf>
    <xf numFmtId="0" fontId="25" fillId="0" borderId="8" xfId="0" applyFont="1" applyBorder="1" applyAlignment="1">
      <alignment wrapText="1"/>
    </xf>
    <xf numFmtId="0" fontId="25" fillId="0" borderId="11" xfId="0" applyFont="1" applyBorder="1" applyAlignment="1">
      <alignment wrapText="1"/>
    </xf>
    <xf numFmtId="0" fontId="24" fillId="0" borderId="8" xfId="0" applyFont="1" applyBorder="1" applyAlignment="1">
      <alignment horizontal="justify" vertical="center"/>
    </xf>
    <xf numFmtId="0" fontId="24" fillId="0" borderId="11" xfId="0" applyFont="1" applyBorder="1" applyAlignment="1">
      <alignment horizontal="justify" vertical="center"/>
    </xf>
    <xf numFmtId="0" fontId="26" fillId="0" borderId="11" xfId="0" applyFont="1" applyBorder="1" applyAlignment="1">
      <alignment horizontal="justify" vertical="center"/>
    </xf>
    <xf numFmtId="0" fontId="26" fillId="0" borderId="8" xfId="0" applyFont="1" applyBorder="1" applyAlignment="1">
      <alignment horizontal="justify" vertical="center"/>
    </xf>
    <xf numFmtId="0" fontId="34" fillId="0" borderId="8" xfId="0" applyFont="1" applyBorder="1" applyAlignment="1">
      <alignment wrapText="1"/>
    </xf>
    <xf numFmtId="0" fontId="13" fillId="0" borderId="57" xfId="0" applyFont="1" applyBorder="1" applyAlignment="1">
      <alignment horizontal="center" vertical="center" wrapText="1"/>
    </xf>
    <xf numFmtId="0" fontId="34" fillId="0" borderId="11" xfId="0" applyFont="1" applyBorder="1" applyAlignment="1">
      <alignment wrapText="1"/>
    </xf>
    <xf numFmtId="0" fontId="25" fillId="0" borderId="8" xfId="0" applyFont="1" applyBorder="1" applyAlignment="1">
      <alignment horizontal="justify" vertical="center"/>
    </xf>
    <xf numFmtId="0" fontId="25" fillId="0" borderId="11" xfId="0" applyFont="1" applyBorder="1" applyAlignment="1">
      <alignment horizontal="justify" vertical="center"/>
    </xf>
    <xf numFmtId="0" fontId="36" fillId="0" borderId="8" xfId="0" applyFont="1" applyBorder="1" applyAlignment="1">
      <alignment vertical="center"/>
    </xf>
    <xf numFmtId="0" fontId="0" fillId="0" borderId="11" xfId="0" applyBorder="1" applyAlignment="1">
      <alignment horizontal="left" vertical="center" indent="1"/>
    </xf>
    <xf numFmtId="0" fontId="0" fillId="0" borderId="8" xfId="0" applyBorder="1"/>
    <xf numFmtId="0" fontId="0" fillId="0" borderId="11" xfId="0" applyBorder="1"/>
    <xf numFmtId="0" fontId="16" fillId="0" borderId="8" xfId="0" applyFont="1" applyBorder="1"/>
    <xf numFmtId="0" fontId="16" fillId="0" borderId="11" xfId="0" applyFont="1" applyBorder="1"/>
    <xf numFmtId="0" fontId="14" fillId="0" borderId="8" xfId="0" applyFont="1" applyBorder="1"/>
    <xf numFmtId="0" fontId="14" fillId="0" borderId="11" xfId="0" applyFont="1" applyBorder="1"/>
    <xf numFmtId="0" fontId="15" fillId="0" borderId="34" xfId="0" applyFont="1" applyBorder="1" applyAlignment="1">
      <alignment wrapText="1"/>
    </xf>
    <xf numFmtId="0" fontId="13" fillId="7" borderId="32" xfId="0" applyFont="1" applyFill="1" applyBorder="1" applyAlignment="1">
      <alignment vertical="center" wrapText="1"/>
    </xf>
    <xf numFmtId="0" fontId="13" fillId="7" borderId="34" xfId="0" applyFont="1" applyFill="1" applyBorder="1" applyAlignment="1">
      <alignment vertical="center" wrapText="1"/>
    </xf>
    <xf numFmtId="0" fontId="13" fillId="0" borderId="11" xfId="0" applyFont="1" applyBorder="1" applyAlignment="1">
      <alignment horizontal="justify" vertical="center"/>
    </xf>
    <xf numFmtId="0" fontId="7" fillId="4" borderId="24" xfId="0" applyFont="1" applyFill="1" applyBorder="1" applyAlignment="1">
      <alignment horizontal="center" vertical="center"/>
    </xf>
    <xf numFmtId="0" fontId="13" fillId="0" borderId="59" xfId="0" applyFont="1" applyBorder="1" applyAlignment="1">
      <alignment horizontal="center" vertical="center" wrapText="1"/>
    </xf>
    <xf numFmtId="0" fontId="13" fillId="7" borderId="60" xfId="0" applyFont="1" applyFill="1" applyBorder="1" applyAlignment="1">
      <alignment vertical="center" wrapText="1"/>
    </xf>
    <xf numFmtId="0" fontId="14" fillId="6" borderId="59" xfId="0" applyFont="1" applyFill="1" applyBorder="1" applyAlignment="1">
      <alignment horizontal="center" vertical="center" wrapText="1"/>
    </xf>
    <xf numFmtId="0" fontId="32" fillId="4" borderId="49" xfId="0" applyFont="1" applyFill="1" applyBorder="1" applyAlignment="1">
      <alignment horizontal="center" vertical="center"/>
    </xf>
    <xf numFmtId="0" fontId="15" fillId="0" borderId="48" xfId="0" applyFont="1" applyBorder="1"/>
    <xf numFmtId="0" fontId="7" fillId="4" borderId="49" xfId="0" applyFont="1" applyFill="1" applyBorder="1" applyAlignment="1">
      <alignment horizontal="center" vertical="center"/>
    </xf>
    <xf numFmtId="0" fontId="31" fillId="0" borderId="8" xfId="0" applyFont="1" applyBorder="1" applyAlignment="1">
      <alignment wrapText="1"/>
    </xf>
    <xf numFmtId="0" fontId="31" fillId="0" borderId="11" xfId="0" applyFont="1" applyBorder="1" applyAlignment="1">
      <alignment wrapText="1"/>
    </xf>
    <xf numFmtId="0" fontId="0" fillId="0" borderId="0" xfId="0" applyAlignment="1">
      <alignment horizontal="left" vertical="center" indent="1"/>
    </xf>
    <xf numFmtId="0" fontId="31" fillId="0" borderId="0" xfId="0" applyFont="1" applyAlignment="1">
      <alignment wrapText="1"/>
    </xf>
    <xf numFmtId="0" fontId="7" fillId="5" borderId="51" xfId="0" applyFont="1" applyFill="1" applyBorder="1" applyAlignment="1">
      <alignment horizontal="center" vertical="center"/>
    </xf>
    <xf numFmtId="0" fontId="7" fillId="5" borderId="61" xfId="0" applyFont="1" applyFill="1" applyBorder="1" applyAlignment="1">
      <alignment horizontal="center" vertical="center"/>
    </xf>
    <xf numFmtId="0" fontId="7" fillId="5" borderId="18" xfId="0" applyFont="1" applyFill="1" applyBorder="1" applyAlignment="1">
      <alignment horizontal="center" vertical="center"/>
    </xf>
    <xf numFmtId="0" fontId="7" fillId="3" borderId="18" xfId="0" applyFont="1" applyFill="1" applyBorder="1" applyAlignment="1">
      <alignment horizontal="center" vertical="center" wrapText="1"/>
    </xf>
    <xf numFmtId="164" fontId="7" fillId="3" borderId="18" xfId="2" applyNumberFormat="1" applyFont="1" applyFill="1" applyBorder="1" applyAlignment="1">
      <alignment horizontal="center" vertical="center"/>
    </xf>
    <xf numFmtId="165" fontId="7" fillId="3" borderId="19" xfId="2" applyNumberFormat="1" applyFont="1" applyFill="1" applyBorder="1" applyAlignment="1">
      <alignment horizontal="center" vertical="center"/>
    </xf>
    <xf numFmtId="165" fontId="7" fillId="3" borderId="21" xfId="2" applyNumberFormat="1" applyFont="1" applyFill="1" applyBorder="1" applyAlignment="1">
      <alignment horizontal="center" vertical="center"/>
    </xf>
    <xf numFmtId="0" fontId="7" fillId="5" borderId="62" xfId="0" applyFont="1" applyFill="1" applyBorder="1" applyAlignment="1">
      <alignment horizontal="center" vertical="center"/>
    </xf>
    <xf numFmtId="0" fontId="7" fillId="5" borderId="23" xfId="0" applyFont="1" applyFill="1" applyBorder="1" applyAlignment="1">
      <alignment horizontal="center" vertical="center"/>
    </xf>
    <xf numFmtId="0" fontId="7" fillId="3" borderId="23" xfId="0" applyFont="1" applyFill="1" applyBorder="1" applyAlignment="1">
      <alignment horizontal="center" vertical="center" wrapText="1"/>
    </xf>
    <xf numFmtId="165" fontId="7" fillId="3" borderId="24" xfId="2" applyNumberFormat="1" applyFont="1" applyFill="1" applyBorder="1" applyAlignment="1">
      <alignment horizontal="center" vertical="center"/>
    </xf>
    <xf numFmtId="44" fontId="8" fillId="2" borderId="6" xfId="0" applyNumberFormat="1" applyFont="1" applyFill="1" applyBorder="1" applyAlignment="1">
      <alignment horizontal="right" vertical="center"/>
    </xf>
    <xf numFmtId="165" fontId="9" fillId="0" borderId="14" xfId="2" applyNumberFormat="1" applyFont="1" applyBorder="1" applyAlignment="1">
      <alignment horizontal="center" vertical="center"/>
    </xf>
    <xf numFmtId="0" fontId="26" fillId="0" borderId="0" xfId="0" applyFont="1" applyAlignment="1">
      <alignment horizontal="justify" vertical="center"/>
    </xf>
    <xf numFmtId="0" fontId="36" fillId="0" borderId="0" xfId="0" applyFont="1" applyAlignment="1">
      <alignment vertical="center"/>
    </xf>
    <xf numFmtId="0" fontId="24" fillId="0" borderId="0" xfId="0" applyFont="1" applyAlignment="1">
      <alignment horizontal="justify" vertical="center"/>
    </xf>
    <xf numFmtId="0" fontId="7" fillId="4" borderId="41" xfId="0" applyFont="1" applyFill="1" applyBorder="1" applyAlignment="1">
      <alignment vertical="center" wrapText="1"/>
    </xf>
    <xf numFmtId="0" fontId="7" fillId="5" borderId="36" xfId="0" applyFont="1" applyFill="1" applyBorder="1" applyAlignment="1">
      <alignment vertical="center"/>
    </xf>
    <xf numFmtId="0" fontId="25" fillId="0" borderId="0" xfId="0" applyFont="1" applyAlignment="1">
      <alignment horizontal="justify" vertical="center"/>
    </xf>
    <xf numFmtId="0" fontId="34" fillId="0" borderId="0" xfId="0" applyFont="1" applyAlignment="1">
      <alignment wrapText="1"/>
    </xf>
    <xf numFmtId="0" fontId="13" fillId="0" borderId="65" xfId="0" applyFont="1" applyBorder="1" applyAlignment="1">
      <alignment vertical="center" wrapText="1"/>
    </xf>
    <xf numFmtId="0" fontId="7" fillId="4" borderId="18" xfId="0" applyFont="1" applyFill="1" applyBorder="1" applyAlignment="1">
      <alignment horizontal="center" vertical="center"/>
    </xf>
    <xf numFmtId="0" fontId="14" fillId="0" borderId="0" xfId="0" applyFont="1"/>
    <xf numFmtId="0" fontId="13" fillId="0" borderId="66" xfId="0" applyFont="1" applyBorder="1" applyAlignment="1">
      <alignment wrapText="1"/>
    </xf>
    <xf numFmtId="0" fontId="7" fillId="4" borderId="23" xfId="0" applyFont="1" applyFill="1" applyBorder="1" applyAlignment="1">
      <alignment horizontal="center" vertical="center"/>
    </xf>
    <xf numFmtId="0" fontId="16" fillId="0" borderId="0" xfId="0" applyFont="1"/>
    <xf numFmtId="0" fontId="13" fillId="0" borderId="0" xfId="0" applyFont="1" applyAlignment="1">
      <alignment horizontal="justify" vertical="center"/>
    </xf>
    <xf numFmtId="0" fontId="7" fillId="5" borderId="68" xfId="0" applyFont="1" applyFill="1" applyBorder="1" applyAlignment="1">
      <alignment horizontal="center" vertical="center"/>
    </xf>
    <xf numFmtId="0" fontId="7" fillId="5" borderId="52" xfId="0" applyFont="1" applyFill="1" applyBorder="1" applyAlignment="1">
      <alignment horizontal="center" vertical="center"/>
    </xf>
    <xf numFmtId="16" fontId="7" fillId="5" borderId="52" xfId="0" applyNumberFormat="1" applyFont="1" applyFill="1" applyBorder="1" applyAlignment="1">
      <alignment horizontal="center" vertical="center"/>
    </xf>
    <xf numFmtId="0" fontId="19" fillId="0" borderId="38" xfId="0" applyFont="1" applyBorder="1" applyAlignment="1">
      <alignment horizontal="justify" vertical="center"/>
    </xf>
    <xf numFmtId="0" fontId="19" fillId="0" borderId="0" xfId="0" applyFont="1" applyAlignment="1">
      <alignment horizontal="justify" vertical="center"/>
    </xf>
    <xf numFmtId="0" fontId="14" fillId="0" borderId="0" xfId="0" applyFont="1" applyAlignment="1">
      <alignment horizontal="justify" vertical="center"/>
    </xf>
    <xf numFmtId="0" fontId="15" fillId="0" borderId="0" xfId="0" applyFont="1"/>
    <xf numFmtId="0" fontId="13" fillId="0" borderId="30" xfId="0" applyFont="1" applyBorder="1" applyAlignment="1">
      <alignment horizontal="center" vertical="center" wrapText="1"/>
    </xf>
    <xf numFmtId="0" fontId="13" fillId="0" borderId="31" xfId="0" applyFont="1" applyBorder="1" applyAlignment="1">
      <alignment vertical="center" wrapText="1"/>
    </xf>
    <xf numFmtId="0" fontId="7" fillId="5" borderId="50" xfId="0" applyFont="1" applyFill="1" applyBorder="1" applyAlignment="1">
      <alignment vertical="center"/>
    </xf>
    <xf numFmtId="0" fontId="14" fillId="0" borderId="0" xfId="0" applyFont="1" applyAlignment="1">
      <alignment wrapText="1"/>
    </xf>
    <xf numFmtId="0" fontId="7" fillId="5" borderId="18" xfId="0" applyFont="1" applyFill="1" applyBorder="1" applyAlignment="1">
      <alignment vertical="center"/>
    </xf>
    <xf numFmtId="0" fontId="13" fillId="0" borderId="0" xfId="0" applyFont="1" applyAlignment="1">
      <alignment vertical="center"/>
    </xf>
    <xf numFmtId="0" fontId="25" fillId="0" borderId="0" xfId="0" applyFont="1" applyAlignment="1">
      <alignment wrapText="1"/>
    </xf>
    <xf numFmtId="0" fontId="13" fillId="0" borderId="0" xfId="0" applyFont="1" applyAlignment="1">
      <alignment wrapText="1"/>
    </xf>
    <xf numFmtId="0" fontId="15" fillId="3" borderId="30" xfId="0" applyFont="1" applyFill="1" applyBorder="1" applyAlignment="1">
      <alignment horizontal="center" vertical="center"/>
    </xf>
    <xf numFmtId="0" fontId="13" fillId="0" borderId="9" xfId="0" applyFont="1" applyBorder="1" applyAlignment="1">
      <alignment horizontal="justify" vertical="center"/>
    </xf>
    <xf numFmtId="0" fontId="7" fillId="5" borderId="46" xfId="0" applyFont="1" applyFill="1" applyBorder="1" applyAlignment="1">
      <alignment horizontal="center" vertical="center"/>
    </xf>
    <xf numFmtId="0" fontId="7" fillId="5" borderId="52" xfId="0" applyFont="1" applyFill="1" applyBorder="1" applyAlignment="1">
      <alignment vertical="center"/>
    </xf>
    <xf numFmtId="0" fontId="24" fillId="0" borderId="0" xfId="0" applyFont="1" applyAlignment="1">
      <alignment vertical="center"/>
    </xf>
    <xf numFmtId="0" fontId="7" fillId="5" borderId="1" xfId="0" applyFont="1" applyFill="1" applyBorder="1" applyAlignment="1">
      <alignment horizontal="center" vertical="center" wrapText="1"/>
    </xf>
    <xf numFmtId="0" fontId="7" fillId="5" borderId="37" xfId="0" applyFont="1" applyFill="1" applyBorder="1" applyAlignment="1">
      <alignment horizontal="center" vertical="center"/>
    </xf>
    <xf numFmtId="0" fontId="14" fillId="0" borderId="55" xfId="0" applyFont="1" applyBorder="1" applyAlignment="1">
      <alignment horizontal="center" vertical="center" wrapText="1"/>
    </xf>
    <xf numFmtId="0" fontId="30" fillId="4" borderId="43" xfId="0" applyFont="1" applyFill="1" applyBorder="1" applyAlignment="1">
      <alignment horizontal="center" vertical="center" wrapText="1"/>
    </xf>
    <xf numFmtId="165" fontId="7" fillId="3" borderId="43" xfId="2" applyNumberFormat="1" applyFont="1" applyFill="1" applyBorder="1" applyAlignment="1">
      <alignment horizontal="center" vertical="center"/>
    </xf>
    <xf numFmtId="0" fontId="7" fillId="3" borderId="37" xfId="0" applyFont="1" applyFill="1" applyBorder="1" applyAlignment="1">
      <alignment horizontal="center" vertical="center" wrapText="1"/>
    </xf>
    <xf numFmtId="44" fontId="7" fillId="3" borderId="23" xfId="2" applyFont="1" applyFill="1" applyBorder="1" applyAlignment="1">
      <alignment horizontal="center" vertical="center"/>
    </xf>
    <xf numFmtId="165" fontId="7" fillId="3" borderId="18" xfId="2" applyNumberFormat="1" applyFont="1" applyFill="1" applyBorder="1" applyAlignment="1">
      <alignment horizontal="center" vertical="center"/>
    </xf>
    <xf numFmtId="44" fontId="7" fillId="3" borderId="36" xfId="2" applyFont="1" applyFill="1" applyBorder="1" applyAlignment="1">
      <alignment horizontal="center" vertical="center"/>
    </xf>
    <xf numFmtId="44" fontId="7" fillId="3" borderId="1" xfId="2" applyFont="1" applyFill="1" applyBorder="1" applyAlignment="1">
      <alignment horizontal="center" vertical="center"/>
    </xf>
    <xf numFmtId="16" fontId="7" fillId="5" borderId="70" xfId="0" applyNumberFormat="1" applyFont="1" applyFill="1" applyBorder="1" applyAlignment="1">
      <alignment horizontal="center" vertical="center"/>
    </xf>
    <xf numFmtId="0" fontId="7" fillId="3" borderId="2" xfId="0" applyFont="1" applyFill="1" applyBorder="1" applyAlignment="1">
      <alignment horizontal="center" vertical="center" wrapText="1"/>
    </xf>
    <xf numFmtId="0" fontId="7" fillId="3" borderId="72" xfId="0" applyFont="1" applyFill="1" applyBorder="1" applyAlignment="1">
      <alignment horizontal="center" vertical="center" wrapText="1"/>
    </xf>
    <xf numFmtId="165" fontId="7" fillId="3" borderId="37" xfId="2" applyNumberFormat="1" applyFont="1" applyFill="1" applyBorder="1" applyAlignment="1">
      <alignment horizontal="center" vertical="center"/>
    </xf>
    <xf numFmtId="0" fontId="7" fillId="5" borderId="72" xfId="0" applyFont="1" applyFill="1" applyBorder="1" applyAlignment="1">
      <alignment horizontal="center" vertical="center"/>
    </xf>
    <xf numFmtId="0" fontId="7" fillId="5" borderId="40" xfId="0" applyFont="1" applyFill="1" applyBorder="1" applyAlignment="1">
      <alignment horizontal="center" vertical="center"/>
    </xf>
    <xf numFmtId="0" fontId="7" fillId="3" borderId="63" xfId="0" applyFont="1" applyFill="1" applyBorder="1" applyAlignment="1">
      <alignment horizontal="center" vertical="center" wrapText="1"/>
    </xf>
    <xf numFmtId="44" fontId="7" fillId="3" borderId="38" xfId="2" applyFont="1" applyFill="1" applyBorder="1" applyAlignment="1">
      <alignment horizontal="center" vertical="center"/>
    </xf>
    <xf numFmtId="165" fontId="7" fillId="3" borderId="45" xfId="2" applyNumberFormat="1" applyFont="1" applyFill="1" applyBorder="1" applyAlignment="1">
      <alignment horizontal="center" vertical="center"/>
    </xf>
    <xf numFmtId="44" fontId="7" fillId="3" borderId="63" xfId="2" applyFont="1" applyFill="1" applyBorder="1" applyAlignment="1">
      <alignment horizontal="center" vertical="center"/>
    </xf>
    <xf numFmtId="0" fontId="7" fillId="4" borderId="45" xfId="0" applyFont="1" applyFill="1" applyBorder="1" applyAlignment="1">
      <alignment horizontal="center" vertical="center" wrapText="1"/>
    </xf>
    <xf numFmtId="0" fontId="7" fillId="5" borderId="63" xfId="0" applyFont="1" applyFill="1" applyBorder="1" applyAlignment="1">
      <alignment horizontal="center" vertical="center"/>
    </xf>
    <xf numFmtId="0" fontId="5" fillId="0" borderId="0" xfId="0" applyFont="1" applyAlignment="1">
      <alignment horizontal="left"/>
    </xf>
    <xf numFmtId="2" fontId="5" fillId="0" borderId="12" xfId="0" applyNumberFormat="1" applyFont="1" applyBorder="1" applyAlignment="1">
      <alignment horizontal="left"/>
    </xf>
    <xf numFmtId="0" fontId="13" fillId="0" borderId="77" xfId="0" applyFont="1" applyBorder="1" applyAlignment="1">
      <alignment horizontal="center" vertical="center" wrapText="1"/>
    </xf>
    <xf numFmtId="0" fontId="13" fillId="0" borderId="78" xfId="0" applyFont="1" applyBorder="1" applyAlignment="1">
      <alignment horizontal="center" vertical="center" wrapText="1"/>
    </xf>
    <xf numFmtId="0" fontId="14" fillId="0" borderId="0" xfId="0" applyFont="1" applyAlignment="1">
      <alignment vertical="center"/>
    </xf>
    <xf numFmtId="0" fontId="13" fillId="0" borderId="79" xfId="0" applyFont="1" applyBorder="1" applyAlignment="1">
      <alignment horizontal="center" vertical="center" wrapText="1"/>
    </xf>
    <xf numFmtId="0" fontId="13" fillId="0" borderId="60" xfId="0" applyFont="1" applyBorder="1" applyAlignment="1">
      <alignment vertical="center" wrapText="1"/>
    </xf>
    <xf numFmtId="0" fontId="7" fillId="3" borderId="52" xfId="0" applyFont="1" applyFill="1" applyBorder="1" applyAlignment="1">
      <alignment horizontal="center" vertical="center" wrapText="1"/>
    </xf>
    <xf numFmtId="166" fontId="7" fillId="3" borderId="52" xfId="2" applyNumberFormat="1" applyFont="1" applyFill="1" applyBorder="1" applyAlignment="1">
      <alignment horizontal="center" vertical="center"/>
    </xf>
    <xf numFmtId="165" fontId="7" fillId="3" borderId="49" xfId="2" applyNumberFormat="1" applyFont="1" applyFill="1" applyBorder="1" applyAlignment="1">
      <alignment horizontal="center" vertical="center"/>
    </xf>
    <xf numFmtId="0" fontId="14" fillId="6" borderId="81" xfId="0" applyFont="1" applyFill="1" applyBorder="1" applyAlignment="1">
      <alignment horizontal="center" vertical="center" wrapText="1"/>
    </xf>
    <xf numFmtId="0" fontId="13" fillId="7" borderId="80" xfId="0" applyFont="1" applyFill="1" applyBorder="1" applyAlignment="1">
      <alignment vertical="center" wrapText="1"/>
    </xf>
    <xf numFmtId="0" fontId="7" fillId="5" borderId="58" xfId="0" applyFont="1" applyFill="1" applyBorder="1" applyAlignment="1">
      <alignment horizontal="center" vertical="center"/>
    </xf>
    <xf numFmtId="0" fontId="14" fillId="7" borderId="59" xfId="0" applyFont="1" applyFill="1" applyBorder="1" applyAlignment="1">
      <alignment wrapText="1"/>
    </xf>
    <xf numFmtId="44" fontId="7" fillId="3" borderId="52" xfId="2" applyFont="1" applyFill="1" applyBorder="1" applyAlignment="1">
      <alignment horizontal="center" vertical="center"/>
    </xf>
    <xf numFmtId="0" fontId="7" fillId="4" borderId="43" xfId="0" applyFont="1" applyFill="1" applyBorder="1" applyAlignment="1">
      <alignment horizontal="center" vertical="center" wrapText="1"/>
    </xf>
    <xf numFmtId="0" fontId="7" fillId="3" borderId="75" xfId="0" applyFont="1" applyFill="1" applyBorder="1" applyAlignment="1">
      <alignment horizontal="center" vertical="center" wrapText="1"/>
    </xf>
    <xf numFmtId="165" fontId="7" fillId="3" borderId="18" xfId="0" applyNumberFormat="1" applyFont="1" applyFill="1" applyBorder="1" applyAlignment="1">
      <alignment horizontal="center" vertical="center" wrapText="1"/>
    </xf>
    <xf numFmtId="0" fontId="38" fillId="0" borderId="0" xfId="0" applyFont="1"/>
    <xf numFmtId="165" fontId="7" fillId="3" borderId="69" xfId="2" applyNumberFormat="1" applyFont="1" applyFill="1" applyBorder="1" applyAlignment="1">
      <alignment horizontal="center" vertical="center"/>
    </xf>
    <xf numFmtId="165" fontId="7" fillId="3" borderId="43" xfId="2" applyNumberFormat="1" applyFont="1" applyFill="1" applyBorder="1" applyAlignment="1">
      <alignment horizontal="center" vertical="center"/>
    </xf>
    <xf numFmtId="165" fontId="7" fillId="3" borderId="45" xfId="2" applyNumberFormat="1" applyFont="1" applyFill="1" applyBorder="1" applyAlignment="1">
      <alignment horizontal="center" vertical="center"/>
    </xf>
    <xf numFmtId="44" fontId="7" fillId="3" borderId="50" xfId="2" applyFont="1" applyFill="1" applyBorder="1" applyAlignment="1">
      <alignment horizontal="center" vertical="center"/>
    </xf>
    <xf numFmtId="44" fontId="7" fillId="3" borderId="40" xfId="2" applyFont="1" applyFill="1" applyBorder="1" applyAlignment="1">
      <alignment horizontal="center" vertical="center"/>
    </xf>
    <xf numFmtId="44" fontId="7" fillId="3" borderId="58" xfId="2" applyFont="1" applyFill="1" applyBorder="1" applyAlignment="1">
      <alignment horizontal="center" vertical="center"/>
    </xf>
    <xf numFmtId="0" fontId="7" fillId="3" borderId="25" xfId="0" applyFont="1" applyFill="1" applyBorder="1" applyAlignment="1">
      <alignment horizontal="center" vertical="center" wrapText="1"/>
    </xf>
    <xf numFmtId="0" fontId="7" fillId="3" borderId="26" xfId="0" applyFont="1" applyFill="1" applyBorder="1" applyAlignment="1">
      <alignment horizontal="center" vertical="center" wrapText="1"/>
    </xf>
    <xf numFmtId="0" fontId="7" fillId="3" borderId="6" xfId="0" applyFont="1" applyFill="1" applyBorder="1" applyAlignment="1">
      <alignment horizontal="center" vertical="center" wrapText="1"/>
    </xf>
    <xf numFmtId="44" fontId="7" fillId="3" borderId="37" xfId="2" applyFont="1" applyFill="1" applyBorder="1" applyAlignment="1">
      <alignment horizontal="center" vertical="center"/>
    </xf>
    <xf numFmtId="44" fontId="7" fillId="3" borderId="63" xfId="2" applyFont="1" applyFill="1" applyBorder="1" applyAlignment="1">
      <alignment horizontal="center" vertical="center"/>
    </xf>
    <xf numFmtId="0" fontId="7" fillId="3" borderId="37" xfId="0" applyFont="1" applyFill="1" applyBorder="1" applyAlignment="1">
      <alignment horizontal="center" vertical="center" wrapText="1"/>
    </xf>
    <xf numFmtId="0" fontId="7" fillId="3" borderId="63" xfId="0" applyFont="1" applyFill="1" applyBorder="1" applyAlignment="1">
      <alignment horizontal="center" vertical="center" wrapText="1"/>
    </xf>
    <xf numFmtId="0" fontId="7" fillId="5" borderId="30" xfId="0" applyFont="1" applyFill="1" applyBorder="1" applyAlignment="1">
      <alignment horizontal="center" vertical="center"/>
    </xf>
    <xf numFmtId="0" fontId="7" fillId="5" borderId="42" xfId="0" applyFont="1" applyFill="1" applyBorder="1" applyAlignment="1">
      <alignment horizontal="center" vertical="center"/>
    </xf>
    <xf numFmtId="0" fontId="7" fillId="5" borderId="44" xfId="0" applyFont="1" applyFill="1" applyBorder="1" applyAlignment="1">
      <alignment horizontal="center" vertical="center"/>
    </xf>
    <xf numFmtId="164" fontId="7" fillId="3" borderId="71" xfId="2" applyNumberFormat="1" applyFont="1" applyFill="1" applyBorder="1" applyAlignment="1">
      <alignment horizontal="center" vertical="center"/>
    </xf>
    <xf numFmtId="164" fontId="7" fillId="3" borderId="40" xfId="2" applyNumberFormat="1" applyFont="1" applyFill="1" applyBorder="1" applyAlignment="1">
      <alignment horizontal="center" vertical="center"/>
    </xf>
    <xf numFmtId="164" fontId="7" fillId="3" borderId="58" xfId="2" applyNumberFormat="1" applyFont="1" applyFill="1" applyBorder="1" applyAlignment="1">
      <alignment horizontal="center" vertical="center"/>
    </xf>
    <xf numFmtId="44" fontId="7" fillId="3" borderId="71" xfId="2" applyFont="1" applyFill="1" applyBorder="1" applyAlignment="1">
      <alignment horizontal="center" vertical="center"/>
    </xf>
    <xf numFmtId="165" fontId="7" fillId="3" borderId="41" xfId="2" applyNumberFormat="1" applyFont="1" applyFill="1" applyBorder="1" applyAlignment="1">
      <alignment horizontal="center" vertical="center"/>
    </xf>
    <xf numFmtId="164" fontId="7" fillId="3" borderId="51" xfId="0" applyNumberFormat="1" applyFont="1" applyFill="1" applyBorder="1" applyAlignment="1">
      <alignment horizontal="center" vertical="center" wrapText="1"/>
    </xf>
    <xf numFmtId="164" fontId="7" fillId="3" borderId="1" xfId="0" applyNumberFormat="1" applyFont="1" applyFill="1" applyBorder="1" applyAlignment="1">
      <alignment horizontal="center" vertical="center" wrapText="1"/>
    </xf>
    <xf numFmtId="44" fontId="7" fillId="3" borderId="51" xfId="2" applyFont="1" applyFill="1" applyBorder="1" applyAlignment="1">
      <alignment horizontal="center" vertical="center" wrapText="1"/>
    </xf>
    <xf numFmtId="44" fontId="7" fillId="3" borderId="1" xfId="2" applyFont="1" applyFill="1" applyBorder="1" applyAlignment="1">
      <alignment horizontal="center" vertical="center" wrapText="1"/>
    </xf>
    <xf numFmtId="0" fontId="7" fillId="3" borderId="36" xfId="0" applyFont="1" applyFill="1" applyBorder="1" applyAlignment="1">
      <alignment horizontal="center" vertical="center" wrapText="1"/>
    </xf>
    <xf numFmtId="0" fontId="7" fillId="3" borderId="74" xfId="0" applyFont="1" applyFill="1" applyBorder="1" applyAlignment="1">
      <alignment horizontal="center" vertical="center" wrapText="1"/>
    </xf>
    <xf numFmtId="0" fontId="7" fillId="3" borderId="75" xfId="0" applyFont="1" applyFill="1" applyBorder="1" applyAlignment="1">
      <alignment horizontal="center" vertical="center" wrapText="1"/>
    </xf>
    <xf numFmtId="0" fontId="7" fillId="3" borderId="76"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quotePrefix="1" applyFont="1" applyFill="1" applyBorder="1" applyAlignment="1">
      <alignment horizontal="center" vertical="center" wrapText="1"/>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0" xfId="0" applyFont="1" applyBorder="1" applyAlignment="1">
      <alignment horizontal="center" vertical="center" wrapText="1"/>
    </xf>
    <xf numFmtId="0" fontId="7" fillId="4" borderId="41" xfId="0" applyFont="1" applyFill="1" applyBorder="1" applyAlignment="1">
      <alignment horizontal="center" vertical="center" wrapText="1"/>
    </xf>
    <xf numFmtId="0" fontId="7" fillId="4" borderId="43" xfId="0" applyFont="1" applyFill="1" applyBorder="1" applyAlignment="1">
      <alignment horizontal="center" vertical="center" wrapText="1"/>
    </xf>
    <xf numFmtId="0" fontId="7" fillId="4" borderId="45" xfId="0" applyFont="1" applyFill="1" applyBorder="1" applyAlignment="1">
      <alignment horizontal="center" vertical="center" wrapText="1"/>
    </xf>
    <xf numFmtId="0" fontId="7" fillId="5" borderId="36" xfId="0" applyFont="1" applyFill="1" applyBorder="1" applyAlignment="1">
      <alignment horizontal="center" vertical="center"/>
    </xf>
    <xf numFmtId="0" fontId="7" fillId="5" borderId="37" xfId="0" applyFont="1" applyFill="1" applyBorder="1" applyAlignment="1">
      <alignment horizontal="center" vertical="center"/>
    </xf>
    <xf numFmtId="0" fontId="7" fillId="5" borderId="63" xfId="0" applyFont="1" applyFill="1" applyBorder="1" applyAlignment="1">
      <alignment horizontal="center" vertical="center"/>
    </xf>
    <xf numFmtId="0" fontId="7" fillId="5" borderId="31" xfId="0" applyFont="1" applyFill="1" applyBorder="1" applyAlignment="1">
      <alignment horizontal="center" vertical="center"/>
    </xf>
    <xf numFmtId="0" fontId="13" fillId="0" borderId="54"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57"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5" xfId="0" applyFont="1" applyBorder="1" applyAlignment="1">
      <alignment horizontal="center" vertical="center" wrapText="1"/>
    </xf>
    <xf numFmtId="0" fontId="14" fillId="0" borderId="56" xfId="0" applyFont="1" applyBorder="1" applyAlignment="1">
      <alignment horizontal="center" vertical="center" wrapText="1"/>
    </xf>
    <xf numFmtId="0" fontId="7" fillId="3" borderId="31" xfId="0" applyFont="1" applyFill="1" applyBorder="1" applyAlignment="1">
      <alignment horizontal="center" vertical="center" wrapText="1"/>
    </xf>
    <xf numFmtId="166" fontId="7" fillId="3" borderId="31" xfId="2" applyNumberFormat="1" applyFont="1" applyFill="1" applyBorder="1" applyAlignment="1">
      <alignment horizontal="center" vertical="center"/>
    </xf>
    <xf numFmtId="166" fontId="7" fillId="3" borderId="37" xfId="2" applyNumberFormat="1" applyFont="1" applyFill="1" applyBorder="1" applyAlignment="1">
      <alignment horizontal="center" vertical="center"/>
    </xf>
    <xf numFmtId="166" fontId="7" fillId="3" borderId="63" xfId="2" applyNumberFormat="1" applyFont="1" applyFill="1" applyBorder="1" applyAlignment="1">
      <alignment horizontal="center" vertical="center"/>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11" xfId="0" applyFont="1" applyBorder="1" applyAlignment="1">
      <alignment horizontal="center" vertical="center" wrapText="1"/>
    </xf>
    <xf numFmtId="0" fontId="6" fillId="2" borderId="20" xfId="0" applyFont="1" applyFill="1" applyBorder="1" applyAlignment="1">
      <alignment horizontal="center"/>
    </xf>
    <xf numFmtId="0" fontId="6" fillId="2" borderId="1" xfId="0" applyFont="1" applyFill="1" applyBorder="1" applyAlignment="1">
      <alignment horizontal="center"/>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6" xfId="0" applyFont="1" applyBorder="1" applyAlignment="1">
      <alignment horizontal="center" vertical="center" wrapText="1"/>
    </xf>
    <xf numFmtId="0" fontId="7" fillId="5" borderId="38" xfId="0" applyFont="1" applyFill="1" applyBorder="1" applyAlignment="1">
      <alignment horizontal="center" vertical="center"/>
    </xf>
    <xf numFmtId="0" fontId="7" fillId="5" borderId="67" xfId="0" applyFont="1" applyFill="1" applyBorder="1" applyAlignment="1">
      <alignment horizontal="center" vertical="center"/>
    </xf>
    <xf numFmtId="0" fontId="7" fillId="5" borderId="47" xfId="0" applyFont="1" applyFill="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3" fillId="0" borderId="53" xfId="0" applyFont="1" applyBorder="1" applyAlignment="1">
      <alignment horizontal="center" vertical="center" wrapText="1"/>
    </xf>
    <xf numFmtId="0" fontId="13" fillId="0" borderId="55" xfId="0" applyFont="1" applyBorder="1" applyAlignment="1">
      <alignment horizontal="center" vertical="center" wrapText="1"/>
    </xf>
    <xf numFmtId="0" fontId="13" fillId="0" borderId="56" xfId="0" applyFont="1" applyBorder="1" applyAlignment="1">
      <alignment horizontal="center" vertical="center" wrapText="1"/>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7" fillId="4" borderId="14" xfId="0" applyFont="1" applyFill="1" applyBorder="1" applyAlignment="1">
      <alignment horizontal="center" vertical="center" wrapText="1"/>
    </xf>
    <xf numFmtId="0" fontId="15" fillId="3" borderId="17" xfId="0" applyFont="1" applyFill="1" applyBorder="1" applyAlignment="1">
      <alignment horizontal="center" vertical="center"/>
    </xf>
    <xf numFmtId="0" fontId="15" fillId="3" borderId="20" xfId="0" applyFont="1" applyFill="1" applyBorder="1" applyAlignment="1">
      <alignment horizontal="center" vertical="center"/>
    </xf>
    <xf numFmtId="0" fontId="15" fillId="3" borderId="47" xfId="0" applyFont="1" applyFill="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7" fillId="4" borderId="41" xfId="0" applyFont="1" applyFill="1" applyBorder="1" applyAlignment="1">
      <alignment horizontal="center" vertical="center"/>
    </xf>
    <xf numFmtId="0" fontId="7" fillId="4" borderId="43" xfId="0" applyFont="1" applyFill="1" applyBorder="1" applyAlignment="1">
      <alignment horizontal="center" vertical="center"/>
    </xf>
    <xf numFmtId="0" fontId="7" fillId="4" borderId="45" xfId="0" applyFont="1" applyFill="1" applyBorder="1" applyAlignment="1">
      <alignment horizontal="center" vertical="center"/>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7" fillId="3" borderId="38" xfId="0" applyFont="1" applyFill="1" applyBorder="1" applyAlignment="1">
      <alignment horizontal="center" vertical="center" wrapText="1"/>
    </xf>
    <xf numFmtId="44" fontId="7" fillId="3" borderId="36" xfId="2" applyFont="1" applyFill="1" applyBorder="1" applyAlignment="1">
      <alignment horizontal="center" vertical="center"/>
    </xf>
    <xf numFmtId="44" fontId="7" fillId="3" borderId="38" xfId="2" applyFont="1" applyFill="1" applyBorder="1" applyAlignment="1">
      <alignment horizontal="center" vertical="center"/>
    </xf>
    <xf numFmtId="0" fontId="6" fillId="6" borderId="1" xfId="0" applyFont="1" applyFill="1" applyBorder="1" applyAlignment="1">
      <alignment horizontal="center"/>
    </xf>
    <xf numFmtId="0" fontId="6" fillId="6" borderId="2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13" fillId="0" borderId="33" xfId="0" applyFont="1" applyBorder="1" applyAlignment="1">
      <alignment horizontal="center" vertical="center" wrapText="1"/>
    </xf>
    <xf numFmtId="0" fontId="13" fillId="8" borderId="13" xfId="0" applyFont="1" applyFill="1" applyBorder="1" applyAlignment="1">
      <alignment horizontal="center" vertical="center" wrapText="1"/>
    </xf>
    <xf numFmtId="0" fontId="13" fillId="8" borderId="10" xfId="0" applyFont="1" applyFill="1" applyBorder="1" applyAlignment="1">
      <alignment horizontal="center" vertical="center" wrapText="1"/>
    </xf>
    <xf numFmtId="16" fontId="7" fillId="5" borderId="37" xfId="0" applyNumberFormat="1" applyFont="1" applyFill="1" applyBorder="1" applyAlignment="1">
      <alignment horizontal="center" vertical="center"/>
    </xf>
    <xf numFmtId="0" fontId="15" fillId="3" borderId="22" xfId="0" applyFont="1" applyFill="1" applyBorder="1" applyAlignment="1">
      <alignment horizontal="center" vertical="center"/>
    </xf>
    <xf numFmtId="0" fontId="15" fillId="3" borderId="30" xfId="0" applyFont="1" applyFill="1" applyBorder="1" applyAlignment="1">
      <alignment horizontal="center" vertical="center" wrapText="1"/>
    </xf>
    <xf numFmtId="0" fontId="15" fillId="3" borderId="42" xfId="0" applyFont="1" applyFill="1" applyBorder="1" applyAlignment="1">
      <alignment horizontal="center" vertical="center" wrapText="1"/>
    </xf>
    <xf numFmtId="0" fontId="15" fillId="3" borderId="44" xfId="0" applyFont="1" applyFill="1" applyBorder="1" applyAlignment="1">
      <alignment horizontal="center" vertical="center" wrapText="1"/>
    </xf>
    <xf numFmtId="0" fontId="13" fillId="0" borderId="67" xfId="0" applyFont="1" applyBorder="1" applyAlignment="1">
      <alignment horizontal="center" vertical="center"/>
    </xf>
    <xf numFmtId="0" fontId="13" fillId="0" borderId="20" xfId="0" applyFont="1" applyBorder="1" applyAlignment="1">
      <alignment horizontal="center" vertical="center"/>
    </xf>
    <xf numFmtId="0" fontId="13" fillId="0" borderId="22" xfId="0" applyFont="1" applyBorder="1" applyAlignment="1">
      <alignment horizontal="center" vertical="center"/>
    </xf>
    <xf numFmtId="0" fontId="7" fillId="4" borderId="64" xfId="0" applyFont="1" applyFill="1" applyBorder="1" applyAlignment="1">
      <alignment horizontal="center" vertical="center" wrapText="1"/>
    </xf>
    <xf numFmtId="0" fontId="7" fillId="4" borderId="21"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5" borderId="73" xfId="0" applyFont="1" applyFill="1" applyBorder="1" applyAlignment="1">
      <alignment horizontal="center" vertical="center"/>
    </xf>
    <xf numFmtId="0" fontId="7" fillId="5" borderId="2" xfId="0" applyFont="1" applyFill="1" applyBorder="1" applyAlignment="1">
      <alignment horizontal="center" vertical="center"/>
    </xf>
    <xf numFmtId="0" fontId="29" fillId="4" borderId="41" xfId="0" applyFont="1" applyFill="1" applyBorder="1" applyAlignment="1">
      <alignment horizontal="center" vertical="center" wrapText="1"/>
    </xf>
    <xf numFmtId="0" fontId="13" fillId="0" borderId="34" xfId="0" applyFont="1" applyBorder="1" applyAlignment="1">
      <alignment horizontal="center" wrapText="1"/>
    </xf>
    <xf numFmtId="0" fontId="13" fillId="0" borderId="35" xfId="0" applyFont="1" applyBorder="1" applyAlignment="1">
      <alignment horizontal="center" wrapText="1"/>
    </xf>
    <xf numFmtId="0" fontId="30" fillId="4" borderId="43" xfId="0" applyFont="1" applyFill="1" applyBorder="1" applyAlignment="1">
      <alignment horizontal="center" vertical="center" wrapText="1"/>
    </xf>
    <xf numFmtId="0" fontId="30" fillId="4" borderId="45" xfId="0" applyFont="1" applyFill="1" applyBorder="1" applyAlignment="1">
      <alignment horizontal="center" vertical="center" wrapText="1"/>
    </xf>
    <xf numFmtId="0" fontId="33" fillId="0" borderId="40" xfId="0" applyFont="1" applyBorder="1" applyAlignment="1">
      <alignment horizontal="left" vertical="center"/>
    </xf>
    <xf numFmtId="0" fontId="33" fillId="0" borderId="58" xfId="0" applyFont="1" applyBorder="1" applyAlignment="1">
      <alignment horizontal="left" vertical="center"/>
    </xf>
    <xf numFmtId="165" fontId="7" fillId="3" borderId="31" xfId="2" applyNumberFormat="1" applyFont="1" applyFill="1" applyBorder="1" applyAlignment="1">
      <alignment horizontal="center" vertical="center"/>
    </xf>
    <xf numFmtId="165" fontId="7" fillId="3" borderId="37" xfId="2" applyNumberFormat="1" applyFont="1" applyFill="1" applyBorder="1" applyAlignment="1">
      <alignment horizontal="center" vertical="center"/>
    </xf>
    <xf numFmtId="165" fontId="7" fillId="3" borderId="63" xfId="2" applyNumberFormat="1" applyFont="1" applyFill="1" applyBorder="1" applyAlignment="1">
      <alignment horizontal="center" vertical="center"/>
    </xf>
    <xf numFmtId="44" fontId="7" fillId="3" borderId="31" xfId="2" applyFont="1" applyFill="1" applyBorder="1" applyAlignment="1">
      <alignment horizontal="center" vertical="center"/>
    </xf>
    <xf numFmtId="0" fontId="14" fillId="0" borderId="7"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0" xfId="0" applyFont="1" applyBorder="1" applyAlignment="1">
      <alignment horizontal="center" vertical="center" wrapText="1"/>
    </xf>
    <xf numFmtId="44" fontId="7" fillId="3" borderId="31" xfId="2" applyFont="1" applyFill="1" applyBorder="1" applyAlignment="1">
      <alignment horizontal="center" vertical="center" wrapText="1"/>
    </xf>
    <xf numFmtId="44" fontId="7" fillId="3" borderId="37" xfId="2" applyFont="1" applyFill="1" applyBorder="1" applyAlignment="1">
      <alignment horizontal="center" vertical="center" wrapText="1"/>
    </xf>
    <xf numFmtId="44" fontId="7" fillId="3" borderId="63" xfId="2" applyFont="1" applyFill="1" applyBorder="1" applyAlignment="1">
      <alignment horizontal="center" vertical="center" wrapText="1"/>
    </xf>
    <xf numFmtId="165" fontId="7" fillId="3" borderId="64" xfId="2" applyNumberFormat="1" applyFont="1" applyFill="1" applyBorder="1" applyAlignment="1">
      <alignment horizontal="center" vertical="center"/>
    </xf>
    <xf numFmtId="165" fontId="7" fillId="3" borderId="27" xfId="2" applyNumberFormat="1" applyFont="1" applyFill="1" applyBorder="1" applyAlignment="1">
      <alignment horizontal="center" vertical="center"/>
    </xf>
    <xf numFmtId="165" fontId="7" fillId="3" borderId="28" xfId="2" applyNumberFormat="1" applyFont="1" applyFill="1" applyBorder="1" applyAlignment="1">
      <alignment horizontal="center" vertical="center"/>
    </xf>
    <xf numFmtId="165" fontId="7" fillId="3" borderId="29" xfId="2" applyNumberFormat="1" applyFont="1" applyFill="1" applyBorder="1" applyAlignment="1">
      <alignment horizontal="center" vertical="center"/>
    </xf>
    <xf numFmtId="165" fontId="7" fillId="3" borderId="9" xfId="0" applyNumberFormat="1"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2" xfId="0" applyFont="1" applyFill="1" applyBorder="1" applyAlignment="1">
      <alignment horizontal="center" vertical="center" wrapText="1"/>
    </xf>
    <xf numFmtId="44" fontId="7" fillId="3" borderId="41" xfId="2" applyFont="1" applyFill="1" applyBorder="1" applyAlignment="1">
      <alignment horizontal="center" vertical="center"/>
    </xf>
    <xf numFmtId="44" fontId="7" fillId="3" borderId="43" xfId="2" applyFont="1" applyFill="1" applyBorder="1" applyAlignment="1">
      <alignment horizontal="center" vertical="center"/>
    </xf>
    <xf numFmtId="44" fontId="7" fillId="3" borderId="45" xfId="2" applyFont="1" applyFill="1" applyBorder="1" applyAlignment="1">
      <alignment horizontal="center" vertical="center"/>
    </xf>
    <xf numFmtId="166" fontId="7" fillId="3" borderId="41" xfId="2" applyNumberFormat="1" applyFont="1" applyFill="1" applyBorder="1" applyAlignment="1">
      <alignment horizontal="center" vertical="center"/>
    </xf>
    <xf numFmtId="166" fontId="7" fillId="3" borderId="43" xfId="2" applyNumberFormat="1" applyFont="1" applyFill="1" applyBorder="1" applyAlignment="1">
      <alignment horizontal="center" vertical="center"/>
    </xf>
    <xf numFmtId="166" fontId="7" fillId="3" borderId="45" xfId="2" applyNumberFormat="1" applyFont="1" applyFill="1" applyBorder="1" applyAlignment="1">
      <alignment horizontal="center" vertical="center"/>
    </xf>
    <xf numFmtId="165" fontId="7" fillId="3" borderId="36" xfId="2" applyNumberFormat="1" applyFont="1" applyFill="1" applyBorder="1" applyAlignment="1">
      <alignment horizontal="center" vertical="center"/>
    </xf>
    <xf numFmtId="165" fontId="7" fillId="3" borderId="38" xfId="2" applyNumberFormat="1" applyFont="1" applyFill="1" applyBorder="1" applyAlignment="1">
      <alignment horizontal="center" vertical="center"/>
    </xf>
    <xf numFmtId="164" fontId="7" fillId="3" borderId="31" xfId="2" applyNumberFormat="1" applyFont="1" applyFill="1" applyBorder="1" applyAlignment="1">
      <alignment horizontal="center" vertical="center"/>
    </xf>
    <xf numFmtId="164" fontId="7" fillId="3" borderId="37" xfId="2" applyNumberFormat="1" applyFont="1" applyFill="1" applyBorder="1" applyAlignment="1">
      <alignment horizontal="center" vertical="center"/>
    </xf>
    <xf numFmtId="164" fontId="7" fillId="3" borderId="38" xfId="2" applyNumberFormat="1" applyFont="1" applyFill="1" applyBorder="1" applyAlignment="1">
      <alignment horizontal="center" vertical="center"/>
    </xf>
    <xf numFmtId="164" fontId="7" fillId="3" borderId="36" xfId="2" applyNumberFormat="1" applyFont="1" applyFill="1" applyBorder="1" applyAlignment="1">
      <alignment horizontal="center" vertical="center"/>
    </xf>
    <xf numFmtId="164" fontId="7" fillId="3" borderId="63" xfId="2" applyNumberFormat="1" applyFont="1" applyFill="1" applyBorder="1" applyAlignment="1">
      <alignment horizontal="center" vertical="center"/>
    </xf>
    <xf numFmtId="165" fontId="7" fillId="3" borderId="1" xfId="0" applyNumberFormat="1" applyFont="1" applyFill="1" applyBorder="1" applyAlignment="1">
      <alignment horizontal="center" vertical="center" wrapText="1"/>
    </xf>
    <xf numFmtId="164" fontId="3" fillId="0" borderId="0" xfId="0" applyNumberFormat="1" applyFont="1"/>
    <xf numFmtId="0" fontId="19" fillId="0" borderId="0" xfId="0" applyFont="1" applyBorder="1" applyAlignment="1">
      <alignment horizontal="justify" vertical="center"/>
    </xf>
    <xf numFmtId="44" fontId="7" fillId="3" borderId="40" xfId="2" applyFont="1" applyFill="1" applyBorder="1" applyAlignment="1">
      <alignment horizontal="center" vertical="center" wrapText="1"/>
    </xf>
    <xf numFmtId="166" fontId="7" fillId="3" borderId="40" xfId="0" applyNumberFormat="1" applyFont="1" applyFill="1" applyBorder="1" applyAlignment="1">
      <alignment horizontal="center" vertical="center" wrapText="1"/>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CV514"/>
  <sheetViews>
    <sheetView tabSelected="1" topLeftCell="A237" zoomScale="40" zoomScaleNormal="40" workbookViewId="0">
      <selection activeCell="L81" sqref="L81:L121"/>
    </sheetView>
  </sheetViews>
  <sheetFormatPr defaultColWidth="9.109375" defaultRowHeight="13.8" x14ac:dyDescent="0.25"/>
  <cols>
    <col min="1" max="1" width="25.44140625" style="1" customWidth="1"/>
    <col min="2" max="2" width="37.33203125" style="1" customWidth="1"/>
    <col min="3" max="3" width="176.44140625" style="1" bestFit="1" customWidth="1"/>
    <col min="4" max="4" width="27.33203125" style="1" hidden="1" customWidth="1"/>
    <col min="5" max="5" width="59.6640625" style="1" hidden="1" customWidth="1"/>
    <col min="6" max="6" width="21.5546875" style="1" hidden="1" customWidth="1"/>
    <col min="7" max="7" width="17.33203125" style="1" customWidth="1"/>
    <col min="8" max="8" width="15.44140625" style="1" customWidth="1"/>
    <col min="9" max="9" width="23.5546875" style="1" customWidth="1"/>
    <col min="10" max="10" width="20.44140625" style="1" customWidth="1"/>
    <col min="11" max="11" width="37.33203125" style="3" customWidth="1"/>
    <col min="12" max="12" width="42.77734375" style="1" customWidth="1"/>
    <col min="13" max="13" width="11.5546875" style="1" bestFit="1" customWidth="1"/>
    <col min="14" max="18" width="9.109375" style="1"/>
    <col min="19" max="19" width="14.109375" style="1" bestFit="1" customWidth="1"/>
    <col min="20" max="16384" width="9.109375" style="1"/>
  </cols>
  <sheetData>
    <row r="1" spans="1:14" ht="12" customHeight="1" thickBot="1" x14ac:dyDescent="0.3"/>
    <row r="2" spans="1:14" ht="42.6" customHeight="1" x14ac:dyDescent="0.25">
      <c r="A2" s="17"/>
      <c r="B2" s="25" t="s">
        <v>21</v>
      </c>
      <c r="C2" s="290"/>
      <c r="D2" s="291"/>
      <c r="E2" s="291"/>
      <c r="F2" s="291"/>
      <c r="G2" s="291"/>
      <c r="H2" s="291"/>
      <c r="I2" s="291"/>
      <c r="J2" s="291"/>
      <c r="K2" s="292"/>
    </row>
    <row r="3" spans="1:14" ht="41.4" customHeight="1" x14ac:dyDescent="0.25">
      <c r="A3" s="18"/>
      <c r="B3" s="26" t="s">
        <v>23</v>
      </c>
      <c r="C3" s="293"/>
      <c r="D3" s="294"/>
      <c r="E3" s="294"/>
      <c r="F3" s="294"/>
      <c r="G3" s="294"/>
      <c r="H3" s="294"/>
      <c r="I3" s="294"/>
      <c r="J3" s="294"/>
      <c r="K3" s="295"/>
    </row>
    <row r="4" spans="1:14" ht="41.4" customHeight="1" thickBot="1" x14ac:dyDescent="0.3">
      <c r="A4" s="19"/>
      <c r="B4" s="27" t="s">
        <v>22</v>
      </c>
      <c r="C4" s="296"/>
      <c r="D4" s="297"/>
      <c r="E4" s="297"/>
      <c r="F4" s="297"/>
      <c r="G4" s="297"/>
      <c r="H4" s="297"/>
      <c r="I4" s="297"/>
      <c r="J4" s="297"/>
      <c r="K4" s="298"/>
    </row>
    <row r="5" spans="1:14" ht="33" customHeight="1" thickBot="1" x14ac:dyDescent="0.3">
      <c r="C5" s="5"/>
      <c r="K5" s="1"/>
    </row>
    <row r="6" spans="1:14" ht="17.399999999999999" x14ac:dyDescent="0.3">
      <c r="A6" s="300" t="s">
        <v>25</v>
      </c>
      <c r="B6" s="301"/>
      <c r="C6" s="302">
        <v>46153</v>
      </c>
      <c r="D6" s="303"/>
      <c r="E6" s="303"/>
      <c r="F6" s="303"/>
      <c r="G6" s="303"/>
      <c r="H6" s="304"/>
      <c r="K6" s="1"/>
    </row>
    <row r="7" spans="1:14" ht="17.399999999999999" x14ac:dyDescent="0.3">
      <c r="A7" s="281" t="s">
        <v>26</v>
      </c>
      <c r="B7" s="282"/>
      <c r="C7" s="299" t="s">
        <v>577</v>
      </c>
      <c r="D7" s="284"/>
      <c r="E7" s="284"/>
      <c r="F7" s="284"/>
      <c r="G7" s="284"/>
      <c r="H7" s="285"/>
      <c r="K7" s="1"/>
    </row>
    <row r="8" spans="1:14" ht="20.399999999999999" customHeight="1" x14ac:dyDescent="0.3">
      <c r="A8" s="281" t="s">
        <v>24</v>
      </c>
      <c r="B8" s="282"/>
      <c r="C8" s="283" t="s">
        <v>27</v>
      </c>
      <c r="D8" s="284"/>
      <c r="E8" s="284"/>
      <c r="F8" s="284"/>
      <c r="G8" s="284"/>
      <c r="H8" s="285"/>
      <c r="K8" s="1"/>
    </row>
    <row r="9" spans="1:14" s="4" customFormat="1" ht="18.899999999999999" customHeight="1" thickBot="1" x14ac:dyDescent="0.35">
      <c r="A9" s="267" t="s">
        <v>7</v>
      </c>
      <c r="B9" s="268"/>
      <c r="C9" s="308" t="s">
        <v>28</v>
      </c>
      <c r="D9" s="308"/>
      <c r="E9" s="308"/>
      <c r="F9" s="308"/>
      <c r="G9" s="308"/>
      <c r="H9" s="309"/>
      <c r="I9" s="1"/>
      <c r="J9" s="1"/>
    </row>
    <row r="10" spans="1:14" s="4" customFormat="1" ht="20.399999999999999" customHeight="1" x14ac:dyDescent="0.3">
      <c r="A10" s="267" t="s">
        <v>13</v>
      </c>
      <c r="B10" s="268"/>
      <c r="C10" s="308" t="s">
        <v>14</v>
      </c>
      <c r="D10" s="308"/>
      <c r="E10" s="308"/>
      <c r="F10" s="308"/>
      <c r="G10" s="308"/>
      <c r="H10" s="309"/>
      <c r="I10" s="1"/>
      <c r="J10" s="28" t="s">
        <v>11</v>
      </c>
      <c r="K10" s="29" t="s">
        <v>10</v>
      </c>
      <c r="L10" s="177">
        <v>45.498100000000001</v>
      </c>
    </row>
    <row r="11" spans="1:14" s="4" customFormat="1" ht="21" customHeight="1" thickBot="1" x14ac:dyDescent="0.35">
      <c r="A11" s="267" t="s">
        <v>8</v>
      </c>
      <c r="B11" s="268"/>
      <c r="C11" s="308" t="s">
        <v>33</v>
      </c>
      <c r="D11" s="308"/>
      <c r="E11" s="308"/>
      <c r="F11" s="308"/>
      <c r="G11" s="308"/>
      <c r="H11" s="309"/>
      <c r="I11" s="1"/>
      <c r="J11" s="6">
        <v>44.42</v>
      </c>
      <c r="K11" s="7">
        <v>51.531700000000001</v>
      </c>
      <c r="L11" s="178">
        <v>53.272599999999997</v>
      </c>
      <c r="M11" s="1"/>
    </row>
    <row r="12" spans="1:14" s="4" customFormat="1" ht="21" customHeight="1" x14ac:dyDescent="0.3">
      <c r="A12" s="281" t="s">
        <v>29</v>
      </c>
      <c r="B12" s="282"/>
      <c r="C12" s="283" t="s">
        <v>34</v>
      </c>
      <c r="D12" s="284"/>
      <c r="E12" s="284"/>
      <c r="F12" s="284"/>
      <c r="G12" s="284"/>
      <c r="H12" s="285"/>
      <c r="I12" s="1"/>
      <c r="J12" s="31"/>
      <c r="K12" s="31"/>
      <c r="L12" s="1"/>
      <c r="M12" s="1"/>
    </row>
    <row r="13" spans="1:14" s="4" customFormat="1" ht="21" customHeight="1" x14ac:dyDescent="0.3">
      <c r="A13" s="267" t="s">
        <v>15</v>
      </c>
      <c r="B13" s="268"/>
      <c r="C13" s="308" t="s">
        <v>35</v>
      </c>
      <c r="D13" s="308"/>
      <c r="E13" s="308"/>
      <c r="F13" s="308"/>
      <c r="G13" s="308"/>
      <c r="H13" s="309"/>
      <c r="I13" s="1"/>
      <c r="J13" s="1"/>
      <c r="K13" s="1"/>
      <c r="L13" s="1"/>
      <c r="M13" s="1"/>
      <c r="N13" s="1"/>
    </row>
    <row r="14" spans="1:14" s="4" customFormat="1" ht="21" customHeight="1" x14ac:dyDescent="0.3">
      <c r="A14" s="267" t="s">
        <v>9</v>
      </c>
      <c r="B14" s="268"/>
      <c r="C14" s="315" t="s">
        <v>31</v>
      </c>
      <c r="D14" s="315"/>
      <c r="E14" s="315"/>
      <c r="F14" s="315"/>
      <c r="G14" s="315"/>
      <c r="H14" s="316"/>
      <c r="I14" s="1"/>
      <c r="J14" s="1"/>
      <c r="K14" s="1"/>
      <c r="L14" s="1"/>
      <c r="M14" s="1"/>
      <c r="N14" s="1"/>
    </row>
    <row r="15" spans="1:14" s="4" customFormat="1" ht="18.899999999999999" customHeight="1" thickBot="1" x14ac:dyDescent="0.35">
      <c r="A15" s="310" t="s">
        <v>12</v>
      </c>
      <c r="B15" s="311"/>
      <c r="C15" s="317">
        <v>1</v>
      </c>
      <c r="D15" s="317"/>
      <c r="E15" s="317"/>
      <c r="F15" s="317"/>
      <c r="G15" s="317"/>
      <c r="H15" s="318"/>
      <c r="I15" s="1"/>
      <c r="J15" s="1"/>
      <c r="K15" s="1"/>
      <c r="L15" s="1"/>
      <c r="M15" s="1"/>
    </row>
    <row r="16" spans="1:14" ht="18.600000000000001" customHeight="1" thickBot="1" x14ac:dyDescent="0.3">
      <c r="K16" s="1"/>
    </row>
    <row r="17" spans="1:12" ht="58.2" customHeight="1" thickBot="1" x14ac:dyDescent="0.35">
      <c r="A17" s="22" t="s">
        <v>0</v>
      </c>
      <c r="B17" s="23" t="s">
        <v>2</v>
      </c>
      <c r="C17" s="23" t="s">
        <v>20</v>
      </c>
      <c r="D17" s="23" t="s">
        <v>3</v>
      </c>
      <c r="E17" s="23" t="s">
        <v>6</v>
      </c>
      <c r="F17" s="34" t="s">
        <v>30</v>
      </c>
      <c r="G17" s="23" t="s">
        <v>4</v>
      </c>
      <c r="H17" s="23" t="s">
        <v>1</v>
      </c>
      <c r="I17" s="24" t="s">
        <v>19</v>
      </c>
      <c r="J17" s="23" t="s">
        <v>613</v>
      </c>
      <c r="K17" s="23" t="s">
        <v>614</v>
      </c>
      <c r="L17" s="23" t="s">
        <v>5</v>
      </c>
    </row>
    <row r="18" spans="1:12" ht="37.950000000000003" customHeight="1" thickBot="1" x14ac:dyDescent="0.3">
      <c r="A18" s="275" t="s">
        <v>46</v>
      </c>
      <c r="B18" s="179" t="s">
        <v>36</v>
      </c>
      <c r="C18" s="128" t="s">
        <v>37</v>
      </c>
      <c r="D18" s="129"/>
      <c r="E18" s="110"/>
      <c r="F18" s="110"/>
      <c r="G18" s="110"/>
      <c r="H18" s="110"/>
      <c r="I18" s="111"/>
      <c r="J18" s="194">
        <v>60000</v>
      </c>
      <c r="K18" s="112"/>
      <c r="L18" s="113">
        <f>J18</f>
        <v>60000</v>
      </c>
    </row>
    <row r="19" spans="1:12" ht="45" customHeight="1" thickBot="1" x14ac:dyDescent="0.3">
      <c r="A19" s="276"/>
      <c r="B19" s="180" t="s">
        <v>38</v>
      </c>
      <c r="C19" s="181" t="s">
        <v>39</v>
      </c>
      <c r="D19" s="13"/>
      <c r="E19" s="14"/>
      <c r="F19" s="14"/>
      <c r="G19" s="14"/>
      <c r="H19" s="14"/>
      <c r="I19" s="15"/>
      <c r="J19" s="194">
        <v>60000</v>
      </c>
      <c r="K19" s="16"/>
      <c r="L19" s="113">
        <f>J19</f>
        <v>60000</v>
      </c>
    </row>
    <row r="20" spans="1:12" ht="18" thickBot="1" x14ac:dyDescent="0.35">
      <c r="A20" s="276"/>
      <c r="B20" s="180" t="s">
        <v>32</v>
      </c>
      <c r="C20" s="130" t="s">
        <v>579</v>
      </c>
      <c r="D20" s="32"/>
      <c r="E20" s="14"/>
      <c r="F20" s="14"/>
      <c r="G20" s="14"/>
      <c r="H20" s="14"/>
      <c r="I20" s="15"/>
      <c r="J20" s="15"/>
      <c r="K20" s="164">
        <v>700</v>
      </c>
      <c r="L20" s="114">
        <f t="shared" ref="L20:L22" si="0">K20*G20</f>
        <v>0</v>
      </c>
    </row>
    <row r="21" spans="1:12" ht="18" thickBot="1" x14ac:dyDescent="0.3">
      <c r="A21" s="276"/>
      <c r="B21" s="180" t="s">
        <v>40</v>
      </c>
      <c r="C21" s="336" t="s">
        <v>580</v>
      </c>
      <c r="D21" s="13"/>
      <c r="E21" s="14"/>
      <c r="F21" s="14"/>
      <c r="G21" s="14"/>
      <c r="H21" s="14"/>
      <c r="I21" s="15"/>
      <c r="J21" s="372">
        <v>5000</v>
      </c>
      <c r="K21" s="16"/>
      <c r="L21" s="113">
        <f>J21</f>
        <v>5000</v>
      </c>
    </row>
    <row r="22" spans="1:12" ht="18" thickBot="1" x14ac:dyDescent="0.3">
      <c r="A22" s="276"/>
      <c r="B22" s="180" t="s">
        <v>41</v>
      </c>
      <c r="C22" s="337"/>
      <c r="D22" s="13"/>
      <c r="E22" s="14"/>
      <c r="F22" s="14"/>
      <c r="G22" s="14"/>
      <c r="H22" s="14"/>
      <c r="I22" s="15"/>
      <c r="J22" s="15"/>
      <c r="K22" s="16"/>
      <c r="L22" s="114">
        <f t="shared" si="0"/>
        <v>0</v>
      </c>
    </row>
    <row r="23" spans="1:12" ht="18" thickBot="1" x14ac:dyDescent="0.35">
      <c r="A23" s="277"/>
      <c r="B23" s="182" t="s">
        <v>42</v>
      </c>
      <c r="C23" s="131" t="s">
        <v>43</v>
      </c>
      <c r="D23" s="132"/>
      <c r="E23" s="116"/>
      <c r="F23" s="116"/>
      <c r="G23" s="116">
        <v>2</v>
      </c>
      <c r="H23" s="116" t="s">
        <v>595</v>
      </c>
      <c r="I23" s="117"/>
      <c r="J23" s="117"/>
      <c r="K23" s="161">
        <v>800</v>
      </c>
      <c r="L23" s="118">
        <f>K23*G23</f>
        <v>1600</v>
      </c>
    </row>
    <row r="24" spans="1:12" ht="85.2" customHeight="1" thickBot="1" x14ac:dyDescent="0.3">
      <c r="A24" s="270" t="s">
        <v>49</v>
      </c>
      <c r="B24" s="100" t="s">
        <v>556</v>
      </c>
      <c r="C24" s="183" t="s">
        <v>44</v>
      </c>
      <c r="D24" s="101"/>
      <c r="E24" s="135"/>
      <c r="F24" s="136"/>
      <c r="G24" s="136">
        <v>1</v>
      </c>
      <c r="H24" s="136" t="s">
        <v>595</v>
      </c>
      <c r="I24" s="184"/>
      <c r="J24" s="184"/>
      <c r="K24" s="185">
        <v>75</v>
      </c>
      <c r="L24" s="186">
        <f>K24*G24*L10</f>
        <v>3412.3575000000001</v>
      </c>
    </row>
    <row r="25" spans="1:12" ht="18" thickBot="1" x14ac:dyDescent="0.35">
      <c r="A25" s="270"/>
      <c r="B25" s="187" t="s">
        <v>557</v>
      </c>
      <c r="C25" s="190"/>
      <c r="D25" s="101"/>
      <c r="E25" s="135"/>
      <c r="F25" s="136"/>
      <c r="G25" s="136">
        <v>1</v>
      </c>
      <c r="H25" s="136"/>
      <c r="I25" s="184"/>
      <c r="J25" s="184"/>
      <c r="K25" s="191">
        <v>1000</v>
      </c>
      <c r="L25" s="186">
        <f>K25*G25</f>
        <v>1000</v>
      </c>
    </row>
    <row r="26" spans="1:12" ht="222" customHeight="1" thickBot="1" x14ac:dyDescent="0.3">
      <c r="A26" s="271"/>
      <c r="B26" s="98" t="s">
        <v>558</v>
      </c>
      <c r="C26" s="188" t="s">
        <v>45</v>
      </c>
      <c r="D26" s="175" t="s">
        <v>47</v>
      </c>
      <c r="E26" s="189" t="s">
        <v>610</v>
      </c>
      <c r="F26" s="176"/>
      <c r="G26" s="176">
        <v>2</v>
      </c>
      <c r="H26" s="176" t="s">
        <v>595</v>
      </c>
      <c r="I26" s="171" t="s">
        <v>598</v>
      </c>
      <c r="J26" s="171"/>
      <c r="K26" s="174">
        <v>17500</v>
      </c>
      <c r="L26" s="173">
        <f>K26*G26</f>
        <v>35000</v>
      </c>
    </row>
    <row r="27" spans="1:12" ht="18" thickBot="1" x14ac:dyDescent="0.35">
      <c r="A27" s="47" t="s">
        <v>555</v>
      </c>
      <c r="B27" s="37"/>
      <c r="C27" s="72"/>
      <c r="D27" s="39"/>
      <c r="E27" s="38"/>
      <c r="F27" s="38"/>
      <c r="G27" s="38">
        <v>1</v>
      </c>
      <c r="H27" s="38" t="s">
        <v>595</v>
      </c>
      <c r="I27" s="60"/>
      <c r="J27" s="60"/>
      <c r="K27" s="172">
        <v>2300</v>
      </c>
      <c r="L27" s="61">
        <f t="shared" ref="L27:L34" si="1">K27*G27</f>
        <v>2300</v>
      </c>
    </row>
    <row r="28" spans="1:12" ht="18" thickBot="1" x14ac:dyDescent="0.35">
      <c r="A28" s="47" t="s">
        <v>566</v>
      </c>
      <c r="B28" s="35"/>
      <c r="C28" s="36"/>
      <c r="D28" s="32"/>
      <c r="E28" s="14"/>
      <c r="F28" s="14"/>
      <c r="G28" s="14">
        <v>1</v>
      </c>
      <c r="H28" s="14" t="s">
        <v>595</v>
      </c>
      <c r="I28" s="15"/>
      <c r="J28" s="15"/>
      <c r="K28" s="164">
        <v>500</v>
      </c>
      <c r="L28" s="33">
        <f t="shared" si="1"/>
        <v>500</v>
      </c>
    </row>
    <row r="29" spans="1:12" ht="18" thickBot="1" x14ac:dyDescent="0.35">
      <c r="A29" s="47" t="s">
        <v>553</v>
      </c>
      <c r="B29" s="35"/>
      <c r="C29" s="36"/>
      <c r="D29" s="32"/>
      <c r="E29" s="14"/>
      <c r="F29" s="14"/>
      <c r="G29" s="14">
        <v>1</v>
      </c>
      <c r="H29" s="14" t="s">
        <v>595</v>
      </c>
      <c r="I29" s="15"/>
      <c r="J29" s="15"/>
      <c r="K29" s="164">
        <v>800</v>
      </c>
      <c r="L29" s="33">
        <f t="shared" si="1"/>
        <v>800</v>
      </c>
    </row>
    <row r="30" spans="1:12" ht="18" thickBot="1" x14ac:dyDescent="0.35">
      <c r="A30" s="47" t="s">
        <v>554</v>
      </c>
      <c r="B30" s="35"/>
      <c r="C30" s="36"/>
      <c r="D30" s="32"/>
      <c r="E30" s="14"/>
      <c r="F30" s="14"/>
      <c r="G30" s="14">
        <v>1</v>
      </c>
      <c r="H30" s="14" t="s">
        <v>595</v>
      </c>
      <c r="I30" s="15"/>
      <c r="J30" s="15"/>
      <c r="K30" s="164">
        <v>500</v>
      </c>
      <c r="L30" s="33">
        <f t="shared" si="1"/>
        <v>500</v>
      </c>
    </row>
    <row r="31" spans="1:12" ht="18" thickBot="1" x14ac:dyDescent="0.35">
      <c r="A31" s="47" t="s">
        <v>552</v>
      </c>
      <c r="B31" s="35"/>
      <c r="C31" s="36"/>
      <c r="D31" s="32"/>
      <c r="E31" s="14"/>
      <c r="F31" s="14"/>
      <c r="G31" s="14">
        <v>1</v>
      </c>
      <c r="H31" s="14" t="s">
        <v>595</v>
      </c>
      <c r="I31" s="15"/>
      <c r="J31" s="15"/>
      <c r="K31" s="164">
        <v>200</v>
      </c>
      <c r="L31" s="33">
        <f t="shared" si="1"/>
        <v>200</v>
      </c>
    </row>
    <row r="32" spans="1:12" ht="122.4" customHeight="1" thickBot="1" x14ac:dyDescent="0.35">
      <c r="A32" s="47"/>
      <c r="B32" s="35" t="s">
        <v>559</v>
      </c>
      <c r="C32" s="36" t="s">
        <v>560</v>
      </c>
      <c r="D32" s="48" t="s">
        <v>569</v>
      </c>
      <c r="E32" s="14"/>
      <c r="F32" s="155" t="s">
        <v>597</v>
      </c>
      <c r="G32" s="14">
        <v>1</v>
      </c>
      <c r="H32" s="14" t="s">
        <v>616</v>
      </c>
      <c r="I32" s="15"/>
      <c r="J32" s="33">
        <v>40000</v>
      </c>
      <c r="K32" s="16"/>
      <c r="L32" s="33">
        <f>J32*G32</f>
        <v>40000</v>
      </c>
    </row>
    <row r="33" spans="1:12" ht="58.95" customHeight="1" thickBot="1" x14ac:dyDescent="0.3">
      <c r="A33" s="47"/>
      <c r="B33" s="35" t="s">
        <v>561</v>
      </c>
      <c r="C33" s="94" t="s">
        <v>562</v>
      </c>
      <c r="D33" s="32"/>
      <c r="E33" s="14"/>
      <c r="F33" s="14"/>
      <c r="G33" s="14">
        <v>6</v>
      </c>
      <c r="H33" s="14" t="s">
        <v>595</v>
      </c>
      <c r="I33" s="15"/>
      <c r="J33" s="15"/>
      <c r="K33" s="164">
        <v>100</v>
      </c>
      <c r="L33" s="33">
        <f t="shared" si="1"/>
        <v>600</v>
      </c>
    </row>
    <row r="34" spans="1:12" ht="62.4" customHeight="1" thickBot="1" x14ac:dyDescent="0.3">
      <c r="A34" s="47"/>
      <c r="B34" s="35" t="s">
        <v>563</v>
      </c>
      <c r="C34" s="94" t="s">
        <v>564</v>
      </c>
      <c r="D34" s="32"/>
      <c r="E34" s="14"/>
      <c r="F34" s="14"/>
      <c r="G34" s="14">
        <v>1</v>
      </c>
      <c r="H34" s="14" t="s">
        <v>595</v>
      </c>
      <c r="I34" s="15"/>
      <c r="J34" s="15"/>
      <c r="K34" s="164">
        <v>1500</v>
      </c>
      <c r="L34" s="33">
        <f t="shared" si="1"/>
        <v>1500</v>
      </c>
    </row>
    <row r="35" spans="1:12" ht="63.6" customHeight="1" thickBot="1" x14ac:dyDescent="0.3">
      <c r="A35" s="47"/>
      <c r="B35" s="35" t="s">
        <v>32</v>
      </c>
      <c r="C35" s="94" t="s">
        <v>565</v>
      </c>
      <c r="D35" s="32"/>
      <c r="E35" s="14"/>
      <c r="F35" s="14"/>
      <c r="G35" s="14">
        <v>2</v>
      </c>
      <c r="H35" s="14" t="s">
        <v>595</v>
      </c>
      <c r="I35" s="15"/>
      <c r="J35" s="15"/>
      <c r="K35" s="164">
        <v>2500</v>
      </c>
      <c r="L35" s="33">
        <f>K35*$G35</f>
        <v>5000</v>
      </c>
    </row>
    <row r="36" spans="1:12" ht="43.2" customHeight="1" thickBot="1" x14ac:dyDescent="0.3">
      <c r="A36" s="47"/>
      <c r="B36" s="35" t="s">
        <v>567</v>
      </c>
      <c r="C36" s="94" t="s">
        <v>568</v>
      </c>
      <c r="D36" s="32"/>
      <c r="E36" s="14"/>
      <c r="F36" s="14"/>
      <c r="G36" s="14">
        <v>1</v>
      </c>
      <c r="H36" s="14" t="s">
        <v>595</v>
      </c>
      <c r="I36" s="15"/>
      <c r="J36" s="15"/>
      <c r="K36" s="164">
        <v>3200</v>
      </c>
      <c r="L36" s="33">
        <f t="shared" ref="L36:L67" si="2">K36*$G36</f>
        <v>3200</v>
      </c>
    </row>
    <row r="37" spans="1:12" ht="43.2" customHeight="1" thickBot="1" x14ac:dyDescent="0.3">
      <c r="A37" s="47"/>
      <c r="B37" s="43" t="s">
        <v>570</v>
      </c>
      <c r="C37" s="95" t="s">
        <v>571</v>
      </c>
      <c r="D37" s="41"/>
      <c r="E37" s="42"/>
      <c r="F37" s="42"/>
      <c r="G37" s="42">
        <v>1</v>
      </c>
      <c r="H37" s="42" t="s">
        <v>596</v>
      </c>
      <c r="I37" s="59"/>
      <c r="J37" s="59"/>
      <c r="K37" s="163">
        <v>2000</v>
      </c>
      <c r="L37" s="33">
        <f t="shared" si="2"/>
        <v>2000</v>
      </c>
    </row>
    <row r="38" spans="1:12" ht="52.95" customHeight="1" thickBot="1" x14ac:dyDescent="0.3">
      <c r="A38" s="269" t="s">
        <v>48</v>
      </c>
      <c r="B38" s="98" t="s">
        <v>50</v>
      </c>
      <c r="C38" s="99" t="s">
        <v>63</v>
      </c>
      <c r="D38" s="56"/>
      <c r="E38" s="109"/>
      <c r="F38" s="110"/>
      <c r="G38" s="110">
        <v>1</v>
      </c>
      <c r="H38" s="110" t="s">
        <v>595</v>
      </c>
      <c r="I38" s="111"/>
      <c r="J38" s="111"/>
      <c r="K38" s="162">
        <v>2000</v>
      </c>
      <c r="L38" s="33">
        <f>K38*$G38</f>
        <v>2000</v>
      </c>
    </row>
    <row r="39" spans="1:12" ht="18" thickBot="1" x14ac:dyDescent="0.3">
      <c r="A39" s="270"/>
      <c r="B39" s="278" t="s">
        <v>62</v>
      </c>
      <c r="C39" s="53" t="s">
        <v>51</v>
      </c>
      <c r="D39" s="65"/>
      <c r="E39" s="49"/>
      <c r="F39" s="14"/>
      <c r="G39" s="14">
        <v>2</v>
      </c>
      <c r="H39" s="110" t="s">
        <v>595</v>
      </c>
      <c r="I39" s="15"/>
      <c r="J39" s="15"/>
      <c r="K39" s="33">
        <v>550</v>
      </c>
      <c r="L39" s="33">
        <f t="shared" si="2"/>
        <v>1100</v>
      </c>
    </row>
    <row r="40" spans="1:12" ht="18" thickBot="1" x14ac:dyDescent="0.3">
      <c r="A40" s="270"/>
      <c r="B40" s="279"/>
      <c r="C40" s="134" t="s">
        <v>52</v>
      </c>
      <c r="D40" s="66"/>
      <c r="E40" s="49"/>
      <c r="F40" s="14"/>
      <c r="G40" s="14">
        <v>1</v>
      </c>
      <c r="H40" s="110" t="s">
        <v>595</v>
      </c>
      <c r="I40" s="15"/>
      <c r="J40" s="15"/>
      <c r="K40" s="33">
        <v>550</v>
      </c>
      <c r="L40" s="33">
        <f t="shared" si="2"/>
        <v>550</v>
      </c>
    </row>
    <row r="41" spans="1:12" ht="18" thickBot="1" x14ac:dyDescent="0.3">
      <c r="A41" s="270"/>
      <c r="B41" s="279"/>
      <c r="C41" s="134" t="s">
        <v>53</v>
      </c>
      <c r="D41" s="66"/>
      <c r="E41" s="49"/>
      <c r="F41" s="14"/>
      <c r="G41" s="14">
        <v>1</v>
      </c>
      <c r="H41" s="110" t="s">
        <v>595</v>
      </c>
      <c r="I41" s="15"/>
      <c r="J41" s="15"/>
      <c r="K41" s="164">
        <v>550</v>
      </c>
      <c r="L41" s="33">
        <f t="shared" si="2"/>
        <v>550</v>
      </c>
    </row>
    <row r="42" spans="1:12" ht="18" thickBot="1" x14ac:dyDescent="0.3">
      <c r="A42" s="270"/>
      <c r="B42" s="279"/>
      <c r="C42" s="134" t="s">
        <v>54</v>
      </c>
      <c r="D42" s="66"/>
      <c r="E42" s="49"/>
      <c r="F42" s="14"/>
      <c r="G42" s="14">
        <v>1</v>
      </c>
      <c r="H42" s="110" t="s">
        <v>595</v>
      </c>
      <c r="I42" s="15"/>
      <c r="J42" s="15"/>
      <c r="K42" s="164">
        <v>550</v>
      </c>
      <c r="L42" s="33">
        <f t="shared" si="2"/>
        <v>550</v>
      </c>
    </row>
    <row r="43" spans="1:12" ht="18" thickBot="1" x14ac:dyDescent="0.3">
      <c r="A43" s="270"/>
      <c r="B43" s="279"/>
      <c r="C43" s="134" t="s">
        <v>55</v>
      </c>
      <c r="D43" s="66"/>
      <c r="E43" s="49"/>
      <c r="F43" s="14"/>
      <c r="G43" s="14">
        <v>1</v>
      </c>
      <c r="H43" s="110" t="s">
        <v>595</v>
      </c>
      <c r="I43" s="15"/>
      <c r="J43" s="15"/>
      <c r="K43" s="164">
        <v>1500</v>
      </c>
      <c r="L43" s="33">
        <f t="shared" si="2"/>
        <v>1500</v>
      </c>
    </row>
    <row r="44" spans="1:12" ht="18" thickBot="1" x14ac:dyDescent="0.3">
      <c r="A44" s="270"/>
      <c r="B44" s="279"/>
      <c r="C44" s="134" t="s">
        <v>56</v>
      </c>
      <c r="D44" s="66"/>
      <c r="E44" s="49"/>
      <c r="F44" s="14"/>
      <c r="G44" s="14">
        <v>1</v>
      </c>
      <c r="H44" s="110" t="s">
        <v>595</v>
      </c>
      <c r="I44" s="15"/>
      <c r="J44" s="15"/>
      <c r="K44" s="164">
        <v>150</v>
      </c>
      <c r="L44" s="33">
        <f t="shared" si="2"/>
        <v>150</v>
      </c>
    </row>
    <row r="45" spans="1:12" ht="18" thickBot="1" x14ac:dyDescent="0.3">
      <c r="A45" s="270"/>
      <c r="B45" s="279"/>
      <c r="C45" s="134" t="s">
        <v>57</v>
      </c>
      <c r="D45" s="66"/>
      <c r="E45" s="49"/>
      <c r="F45" s="14"/>
      <c r="G45" s="14">
        <v>1</v>
      </c>
      <c r="H45" s="110" t="s">
        <v>595</v>
      </c>
      <c r="I45" s="15"/>
      <c r="J45" s="15"/>
      <c r="K45" s="164">
        <v>60</v>
      </c>
      <c r="L45" s="33">
        <f t="shared" si="2"/>
        <v>60</v>
      </c>
    </row>
    <row r="46" spans="1:12" ht="18" thickBot="1" x14ac:dyDescent="0.3">
      <c r="A46" s="270"/>
      <c r="B46" s="279"/>
      <c r="C46" s="134" t="s">
        <v>58</v>
      </c>
      <c r="D46" s="73"/>
      <c r="E46" s="49"/>
      <c r="F46" s="14"/>
      <c r="G46" s="14">
        <v>1</v>
      </c>
      <c r="H46" s="110" t="s">
        <v>595</v>
      </c>
      <c r="I46" s="15"/>
      <c r="J46" s="15"/>
      <c r="K46" s="164">
        <v>25</v>
      </c>
      <c r="L46" s="33">
        <f t="shared" si="2"/>
        <v>25</v>
      </c>
    </row>
    <row r="47" spans="1:12" ht="18" thickBot="1" x14ac:dyDescent="0.3">
      <c r="A47" s="270"/>
      <c r="B47" s="279"/>
      <c r="C47" s="134" t="s">
        <v>59</v>
      </c>
      <c r="D47" s="73"/>
      <c r="E47" s="49"/>
      <c r="F47" s="14"/>
      <c r="G47" s="14">
        <v>1</v>
      </c>
      <c r="H47" s="110" t="s">
        <v>595</v>
      </c>
      <c r="I47" s="15"/>
      <c r="J47" s="15"/>
      <c r="K47" s="164">
        <v>2000</v>
      </c>
      <c r="L47" s="33">
        <f t="shared" si="2"/>
        <v>2000</v>
      </c>
    </row>
    <row r="48" spans="1:12" ht="18" thickBot="1" x14ac:dyDescent="0.3">
      <c r="A48" s="270"/>
      <c r="B48" s="279"/>
      <c r="C48" s="134" t="s">
        <v>60</v>
      </c>
      <c r="D48" s="73"/>
      <c r="E48" s="49"/>
      <c r="F48" s="14"/>
      <c r="G48" s="14">
        <v>1</v>
      </c>
      <c r="H48" s="110" t="s">
        <v>595</v>
      </c>
      <c r="I48" s="15"/>
      <c r="J48" s="15"/>
      <c r="K48" s="164">
        <v>200</v>
      </c>
      <c r="L48" s="33">
        <f t="shared" si="2"/>
        <v>200</v>
      </c>
    </row>
    <row r="49" spans="1:12" ht="24.6" customHeight="1" thickBot="1" x14ac:dyDescent="0.3">
      <c r="A49" s="270"/>
      <c r="B49" s="279"/>
      <c r="C49" s="134" t="s">
        <v>61</v>
      </c>
      <c r="D49" s="73"/>
      <c r="E49" s="49"/>
      <c r="F49" s="14"/>
      <c r="G49" s="14">
        <v>16</v>
      </c>
      <c r="H49" s="110" t="s">
        <v>595</v>
      </c>
      <c r="I49" s="15"/>
      <c r="J49" s="15"/>
      <c r="K49" s="164">
        <v>4000</v>
      </c>
      <c r="L49" s="33">
        <f t="shared" si="2"/>
        <v>64000</v>
      </c>
    </row>
    <row r="50" spans="1:12" ht="24.6" customHeight="1" thickBot="1" x14ac:dyDescent="0.3">
      <c r="A50" s="270"/>
      <c r="B50" s="280"/>
      <c r="C50" s="96" t="s">
        <v>64</v>
      </c>
      <c r="D50" s="97"/>
      <c r="E50" s="49"/>
      <c r="F50" s="14"/>
      <c r="G50" s="14">
        <v>1</v>
      </c>
      <c r="H50" s="110" t="s">
        <v>595</v>
      </c>
      <c r="I50" s="221"/>
      <c r="J50" s="221"/>
      <c r="K50" s="313">
        <v>22000</v>
      </c>
      <c r="L50" s="365">
        <f t="shared" si="2"/>
        <v>22000</v>
      </c>
    </row>
    <row r="51" spans="1:12" ht="24.6" customHeight="1" x14ac:dyDescent="0.3">
      <c r="A51" s="270"/>
      <c r="B51" s="278" t="s">
        <v>65</v>
      </c>
      <c r="C51" s="91" t="s">
        <v>74</v>
      </c>
      <c r="D51" s="305"/>
      <c r="E51" s="49"/>
      <c r="F51" s="14"/>
      <c r="G51" s="250">
        <v>1</v>
      </c>
      <c r="H51" s="250" t="s">
        <v>595</v>
      </c>
      <c r="I51" s="207"/>
      <c r="J51" s="207"/>
      <c r="K51" s="205"/>
      <c r="L51" s="343"/>
    </row>
    <row r="52" spans="1:12" ht="24.6" customHeight="1" x14ac:dyDescent="0.3">
      <c r="A52" s="270"/>
      <c r="B52" s="279"/>
      <c r="C52" s="130" t="s">
        <v>75</v>
      </c>
      <c r="D52" s="306"/>
      <c r="E52" s="49"/>
      <c r="F52" s="14"/>
      <c r="G52" s="251"/>
      <c r="H52" s="251"/>
      <c r="I52" s="207"/>
      <c r="J52" s="207"/>
      <c r="K52" s="205"/>
      <c r="L52" s="343"/>
    </row>
    <row r="53" spans="1:12" ht="24.6" customHeight="1" x14ac:dyDescent="0.3">
      <c r="A53" s="270"/>
      <c r="B53" s="279"/>
      <c r="C53" s="130" t="s">
        <v>81</v>
      </c>
      <c r="D53" s="306"/>
      <c r="E53" s="49"/>
      <c r="F53" s="14"/>
      <c r="G53" s="251"/>
      <c r="H53" s="251"/>
      <c r="I53" s="207"/>
      <c r="J53" s="207"/>
      <c r="K53" s="205"/>
      <c r="L53" s="343"/>
    </row>
    <row r="54" spans="1:12" ht="24.6" customHeight="1" x14ac:dyDescent="0.3">
      <c r="A54" s="270"/>
      <c r="B54" s="279"/>
      <c r="C54" s="130" t="s">
        <v>77</v>
      </c>
      <c r="D54" s="306"/>
      <c r="E54" s="49"/>
      <c r="F54" s="14"/>
      <c r="G54" s="251"/>
      <c r="H54" s="251"/>
      <c r="I54" s="207"/>
      <c r="J54" s="207"/>
      <c r="K54" s="205"/>
      <c r="L54" s="343"/>
    </row>
    <row r="55" spans="1:12" ht="24.6" customHeight="1" x14ac:dyDescent="0.3">
      <c r="A55" s="270"/>
      <c r="B55" s="279"/>
      <c r="C55" s="130" t="s">
        <v>78</v>
      </c>
      <c r="D55" s="306"/>
      <c r="E55" s="49"/>
      <c r="F55" s="14"/>
      <c r="G55" s="251"/>
      <c r="H55" s="251"/>
      <c r="I55" s="207"/>
      <c r="J55" s="207"/>
      <c r="K55" s="205"/>
      <c r="L55" s="343"/>
    </row>
    <row r="56" spans="1:12" ht="24.6" customHeight="1" x14ac:dyDescent="0.3">
      <c r="A56" s="270"/>
      <c r="B56" s="279"/>
      <c r="C56" s="130" t="s">
        <v>79</v>
      </c>
      <c r="D56" s="306"/>
      <c r="E56" s="49"/>
      <c r="F56" s="14"/>
      <c r="G56" s="251"/>
      <c r="H56" s="251"/>
      <c r="I56" s="207"/>
      <c r="J56" s="207"/>
      <c r="K56" s="205"/>
      <c r="L56" s="343"/>
    </row>
    <row r="57" spans="1:12" ht="24.6" customHeight="1" thickBot="1" x14ac:dyDescent="0.35">
      <c r="A57" s="270"/>
      <c r="B57" s="280"/>
      <c r="C57" s="92" t="s">
        <v>80</v>
      </c>
      <c r="D57" s="307"/>
      <c r="E57" s="49"/>
      <c r="F57" s="14"/>
      <c r="G57" s="272"/>
      <c r="H57" s="272"/>
      <c r="I57" s="312"/>
      <c r="J57" s="312"/>
      <c r="K57" s="314"/>
      <c r="L57" s="366"/>
    </row>
    <row r="58" spans="1:12" ht="24.6" customHeight="1" thickBot="1" x14ac:dyDescent="0.35">
      <c r="A58" s="270"/>
      <c r="B58" s="319" t="s">
        <v>66</v>
      </c>
      <c r="C58" s="141" t="s">
        <v>67</v>
      </c>
      <c r="D58" s="46"/>
      <c r="E58" s="14"/>
      <c r="F58" s="14"/>
      <c r="G58" s="14">
        <v>1</v>
      </c>
      <c r="H58" s="110" t="s">
        <v>595</v>
      </c>
      <c r="I58" s="15"/>
      <c r="J58" s="15"/>
      <c r="K58" s="164">
        <v>5000</v>
      </c>
      <c r="L58" s="33">
        <f t="shared" si="2"/>
        <v>5000</v>
      </c>
    </row>
    <row r="59" spans="1:12" ht="19.2" thickBot="1" x14ac:dyDescent="0.35">
      <c r="A59" s="270"/>
      <c r="B59" s="319"/>
      <c r="C59" s="93" t="s">
        <v>578</v>
      </c>
      <c r="D59" s="44"/>
      <c r="E59" s="14"/>
      <c r="F59" s="14"/>
      <c r="G59" s="14">
        <v>1</v>
      </c>
      <c r="H59" s="110" t="s">
        <v>595</v>
      </c>
      <c r="I59" s="15"/>
      <c r="J59" s="15"/>
      <c r="K59" s="164">
        <v>3500</v>
      </c>
      <c r="L59" s="33">
        <f t="shared" si="2"/>
        <v>3500</v>
      </c>
    </row>
    <row r="60" spans="1:12" ht="19.2" x14ac:dyDescent="0.35">
      <c r="A60" s="270"/>
      <c r="B60" s="278" t="s">
        <v>68</v>
      </c>
      <c r="C60" s="89" t="s">
        <v>82</v>
      </c>
      <c r="D60" s="305"/>
      <c r="E60" s="49"/>
      <c r="F60" s="14"/>
      <c r="G60" s="250">
        <v>1</v>
      </c>
      <c r="H60" s="250" t="s">
        <v>595</v>
      </c>
      <c r="I60" s="15"/>
      <c r="J60" s="221"/>
      <c r="K60" s="365">
        <v>11850</v>
      </c>
      <c r="L60" s="365">
        <f t="shared" si="2"/>
        <v>11850</v>
      </c>
    </row>
    <row r="61" spans="1:12" ht="19.2" x14ac:dyDescent="0.35">
      <c r="A61" s="270"/>
      <c r="B61" s="279"/>
      <c r="C61" s="133" t="s">
        <v>83</v>
      </c>
      <c r="D61" s="306"/>
      <c r="E61" s="49"/>
      <c r="F61" s="14"/>
      <c r="G61" s="251"/>
      <c r="H61" s="251"/>
      <c r="I61" s="15"/>
      <c r="J61" s="207"/>
      <c r="K61" s="343"/>
      <c r="L61" s="343"/>
    </row>
    <row r="62" spans="1:12" ht="19.2" x14ac:dyDescent="0.35">
      <c r="A62" s="270"/>
      <c r="B62" s="279"/>
      <c r="C62" s="133" t="s">
        <v>84</v>
      </c>
      <c r="D62" s="306"/>
      <c r="E62" s="49"/>
      <c r="F62" s="14"/>
      <c r="G62" s="251"/>
      <c r="H62" s="251"/>
      <c r="I62" s="15"/>
      <c r="J62" s="207"/>
      <c r="K62" s="343"/>
      <c r="L62" s="343"/>
    </row>
    <row r="63" spans="1:12" ht="19.2" x14ac:dyDescent="0.35">
      <c r="A63" s="270"/>
      <c r="B63" s="279"/>
      <c r="C63" s="133" t="s">
        <v>88</v>
      </c>
      <c r="D63" s="306"/>
      <c r="E63" s="49"/>
      <c r="F63" s="14"/>
      <c r="G63" s="251"/>
      <c r="H63" s="251"/>
      <c r="I63" s="15"/>
      <c r="J63" s="207"/>
      <c r="K63" s="343"/>
      <c r="L63" s="343"/>
    </row>
    <row r="64" spans="1:12" ht="19.2" x14ac:dyDescent="0.35">
      <c r="A64" s="270"/>
      <c r="B64" s="279"/>
      <c r="C64" s="133" t="s">
        <v>89</v>
      </c>
      <c r="D64" s="306"/>
      <c r="E64" s="49"/>
      <c r="F64" s="14"/>
      <c r="G64" s="251"/>
      <c r="H64" s="251"/>
      <c r="I64" s="15"/>
      <c r="J64" s="207"/>
      <c r="K64" s="343"/>
      <c r="L64" s="343"/>
    </row>
    <row r="65" spans="1:12" ht="19.8" thickBot="1" x14ac:dyDescent="0.4">
      <c r="A65" s="270"/>
      <c r="B65" s="280"/>
      <c r="C65" s="90" t="s">
        <v>90</v>
      </c>
      <c r="D65" s="307"/>
      <c r="E65" s="49"/>
      <c r="F65" s="14"/>
      <c r="G65" s="251"/>
      <c r="H65" s="251"/>
      <c r="I65" s="15"/>
      <c r="J65" s="312"/>
      <c r="K65" s="366"/>
      <c r="L65" s="366"/>
    </row>
    <row r="66" spans="1:12" ht="19.2" thickBot="1" x14ac:dyDescent="0.35">
      <c r="A66" s="270"/>
      <c r="B66" s="98" t="s">
        <v>69</v>
      </c>
      <c r="C66" s="102" t="s">
        <v>72</v>
      </c>
      <c r="D66" s="103"/>
      <c r="E66" s="49"/>
      <c r="F66" s="14"/>
      <c r="G66" s="14">
        <v>1</v>
      </c>
      <c r="H66" s="110" t="s">
        <v>595</v>
      </c>
      <c r="I66" s="15"/>
      <c r="J66" s="15"/>
      <c r="K66" s="33">
        <v>18000</v>
      </c>
      <c r="L66" s="33">
        <f t="shared" si="2"/>
        <v>18000</v>
      </c>
    </row>
    <row r="67" spans="1:12" ht="19.2" thickBot="1" x14ac:dyDescent="0.35">
      <c r="A67" s="270"/>
      <c r="B67" s="64" t="s">
        <v>70</v>
      </c>
      <c r="C67" s="141" t="s">
        <v>71</v>
      </c>
      <c r="D67" s="45"/>
      <c r="E67" s="14"/>
      <c r="F67" s="14"/>
      <c r="G67" s="14">
        <v>2</v>
      </c>
      <c r="H67" s="110" t="s">
        <v>595</v>
      </c>
      <c r="I67" s="15"/>
      <c r="J67" s="59"/>
      <c r="K67" s="164">
        <v>280</v>
      </c>
      <c r="L67" s="33">
        <f t="shared" si="2"/>
        <v>560</v>
      </c>
    </row>
    <row r="68" spans="1:12" ht="19.2" x14ac:dyDescent="0.35">
      <c r="A68" s="270"/>
      <c r="B68" s="278" t="s">
        <v>76</v>
      </c>
      <c r="C68" s="89" t="s">
        <v>73</v>
      </c>
      <c r="D68" s="247" t="s">
        <v>121</v>
      </c>
      <c r="E68" s="49"/>
      <c r="F68" s="14"/>
      <c r="G68" s="250">
        <v>1</v>
      </c>
      <c r="H68" s="250" t="s">
        <v>595</v>
      </c>
      <c r="I68" s="166"/>
      <c r="J68" s="202"/>
      <c r="K68" s="199">
        <v>3400</v>
      </c>
      <c r="L68" s="196">
        <f>K68*G68</f>
        <v>3400</v>
      </c>
    </row>
    <row r="69" spans="1:12" ht="19.2" x14ac:dyDescent="0.35">
      <c r="A69" s="270"/>
      <c r="B69" s="279"/>
      <c r="C69" s="141" t="s">
        <v>91</v>
      </c>
      <c r="D69" s="306"/>
      <c r="E69" s="49"/>
      <c r="F69" s="14"/>
      <c r="G69" s="251"/>
      <c r="H69" s="251"/>
      <c r="I69" s="166"/>
      <c r="J69" s="203"/>
      <c r="K69" s="200"/>
      <c r="L69" s="197"/>
    </row>
    <row r="70" spans="1:12" ht="19.2" x14ac:dyDescent="0.35">
      <c r="A70" s="270"/>
      <c r="B70" s="279"/>
      <c r="C70" s="133" t="s">
        <v>92</v>
      </c>
      <c r="D70" s="306"/>
      <c r="E70" s="49"/>
      <c r="F70" s="14"/>
      <c r="G70" s="251"/>
      <c r="H70" s="251"/>
      <c r="I70" s="166"/>
      <c r="J70" s="203"/>
      <c r="K70" s="200"/>
      <c r="L70" s="197"/>
    </row>
    <row r="71" spans="1:12" ht="19.2" x14ac:dyDescent="0.35">
      <c r="A71" s="270"/>
      <c r="B71" s="279"/>
      <c r="C71" s="141" t="s">
        <v>93</v>
      </c>
      <c r="D71" s="306"/>
      <c r="E71" s="49"/>
      <c r="F71" s="14"/>
      <c r="G71" s="251"/>
      <c r="H71" s="251"/>
      <c r="I71" s="166"/>
      <c r="J71" s="203"/>
      <c r="K71" s="200"/>
      <c r="L71" s="197"/>
    </row>
    <row r="72" spans="1:12" ht="19.2" x14ac:dyDescent="0.35">
      <c r="A72" s="270"/>
      <c r="B72" s="279"/>
      <c r="C72" s="133" t="s">
        <v>94</v>
      </c>
      <c r="D72" s="306"/>
      <c r="E72" s="49"/>
      <c r="F72" s="14"/>
      <c r="G72" s="251"/>
      <c r="H72" s="251"/>
      <c r="I72" s="166"/>
      <c r="J72" s="203"/>
      <c r="K72" s="200"/>
      <c r="L72" s="197"/>
    </row>
    <row r="73" spans="1:12" ht="19.2" x14ac:dyDescent="0.35">
      <c r="A73" s="270"/>
      <c r="B73" s="279"/>
      <c r="C73" s="133" t="s">
        <v>99</v>
      </c>
      <c r="D73" s="306"/>
      <c r="E73" s="49"/>
      <c r="F73" s="14"/>
      <c r="G73" s="251"/>
      <c r="H73" s="251"/>
      <c r="I73" s="166"/>
      <c r="J73" s="203"/>
      <c r="K73" s="200"/>
      <c r="L73" s="197"/>
    </row>
    <row r="74" spans="1:12" ht="19.2" x14ac:dyDescent="0.35">
      <c r="A74" s="270"/>
      <c r="B74" s="279"/>
      <c r="C74" s="133" t="s">
        <v>95</v>
      </c>
      <c r="D74" s="306"/>
      <c r="E74" s="49"/>
      <c r="F74" s="14"/>
      <c r="G74" s="251"/>
      <c r="H74" s="251"/>
      <c r="I74" s="166"/>
      <c r="J74" s="203"/>
      <c r="K74" s="200"/>
      <c r="L74" s="197"/>
    </row>
    <row r="75" spans="1:12" ht="19.2" x14ac:dyDescent="0.35">
      <c r="A75" s="270"/>
      <c r="B75" s="279"/>
      <c r="C75" s="141" t="s">
        <v>96</v>
      </c>
      <c r="D75" s="306"/>
      <c r="E75" s="49"/>
      <c r="F75" s="14"/>
      <c r="G75" s="251"/>
      <c r="H75" s="251"/>
      <c r="I75" s="166"/>
      <c r="J75" s="203"/>
      <c r="K75" s="200"/>
      <c r="L75" s="197"/>
    </row>
    <row r="76" spans="1:12" ht="19.2" x14ac:dyDescent="0.35">
      <c r="A76" s="270"/>
      <c r="B76" s="279"/>
      <c r="C76" s="133" t="s">
        <v>97</v>
      </c>
      <c r="D76" s="306"/>
      <c r="E76" s="49"/>
      <c r="F76" s="14"/>
      <c r="G76" s="251"/>
      <c r="H76" s="251"/>
      <c r="I76" s="166"/>
      <c r="J76" s="203"/>
      <c r="K76" s="200"/>
      <c r="L76" s="197"/>
    </row>
    <row r="77" spans="1:12" ht="19.2" x14ac:dyDescent="0.35">
      <c r="A77" s="270"/>
      <c r="B77" s="279"/>
      <c r="C77" s="133" t="s">
        <v>98</v>
      </c>
      <c r="D77" s="306"/>
      <c r="E77" s="49"/>
      <c r="F77" s="14"/>
      <c r="G77" s="251"/>
      <c r="H77" s="251"/>
      <c r="I77" s="166"/>
      <c r="J77" s="203"/>
      <c r="K77" s="200"/>
      <c r="L77" s="197"/>
    </row>
    <row r="78" spans="1:12" ht="19.2" x14ac:dyDescent="0.35">
      <c r="A78" s="270"/>
      <c r="B78" s="279"/>
      <c r="C78" s="133" t="s">
        <v>100</v>
      </c>
      <c r="D78" s="306"/>
      <c r="E78" s="49"/>
      <c r="F78" s="14"/>
      <c r="G78" s="251"/>
      <c r="H78" s="251"/>
      <c r="I78" s="166"/>
      <c r="J78" s="203"/>
      <c r="K78" s="200"/>
      <c r="L78" s="197"/>
    </row>
    <row r="79" spans="1:12" ht="19.2" x14ac:dyDescent="0.35">
      <c r="A79" s="270"/>
      <c r="B79" s="279"/>
      <c r="C79" s="141" t="s">
        <v>101</v>
      </c>
      <c r="D79" s="306"/>
      <c r="E79" s="49"/>
      <c r="F79" s="14"/>
      <c r="G79" s="251"/>
      <c r="H79" s="251"/>
      <c r="I79" s="166"/>
      <c r="J79" s="203"/>
      <c r="K79" s="200"/>
      <c r="L79" s="197"/>
    </row>
    <row r="80" spans="1:12" ht="19.8" thickBot="1" x14ac:dyDescent="0.4">
      <c r="A80" s="271"/>
      <c r="B80" s="280"/>
      <c r="C80" s="90" t="s">
        <v>102</v>
      </c>
      <c r="D80" s="307"/>
      <c r="E80" s="115"/>
      <c r="F80" s="116"/>
      <c r="G80" s="252"/>
      <c r="H80" s="252"/>
      <c r="I80" s="167"/>
      <c r="J80" s="204"/>
      <c r="K80" s="201"/>
      <c r="L80" s="198"/>
    </row>
    <row r="81" spans="1:19" ht="150.6" customHeight="1" thickBot="1" x14ac:dyDescent="0.35">
      <c r="A81" s="269" t="s">
        <v>85</v>
      </c>
      <c r="B81" s="54" t="s">
        <v>87</v>
      </c>
      <c r="C81" s="55" t="s">
        <v>86</v>
      </c>
      <c r="D81" s="56" t="s">
        <v>122</v>
      </c>
      <c r="E81" s="135" t="s">
        <v>600</v>
      </c>
      <c r="F81" s="136"/>
      <c r="G81" s="137" t="s">
        <v>572</v>
      </c>
      <c r="H81" s="165" t="s">
        <v>595</v>
      </c>
      <c r="I81" s="221" t="s">
        <v>601</v>
      </c>
      <c r="J81" s="217">
        <v>5917</v>
      </c>
      <c r="K81" s="219">
        <f>J81*L11</f>
        <v>315213.9742</v>
      </c>
      <c r="L81" s="216">
        <f>K81*3</f>
        <v>945641.92259999993</v>
      </c>
    </row>
    <row r="82" spans="1:19" ht="19.2" customHeight="1" x14ac:dyDescent="0.25">
      <c r="A82" s="270"/>
      <c r="B82" s="287" t="s">
        <v>142</v>
      </c>
      <c r="C82" s="53" t="s">
        <v>103</v>
      </c>
      <c r="D82" s="247" t="s">
        <v>120</v>
      </c>
      <c r="E82" s="109"/>
      <c r="F82" s="49"/>
      <c r="G82" s="253">
        <v>2</v>
      </c>
      <c r="H82" s="253" t="s">
        <v>595</v>
      </c>
      <c r="I82" s="207"/>
      <c r="J82" s="218"/>
      <c r="K82" s="220"/>
      <c r="L82" s="197"/>
    </row>
    <row r="83" spans="1:19" ht="19.2" customHeight="1" x14ac:dyDescent="0.25">
      <c r="A83" s="270"/>
      <c r="B83" s="288"/>
      <c r="C83" s="134" t="s">
        <v>104</v>
      </c>
      <c r="D83" s="248"/>
      <c r="E83" s="49"/>
      <c r="F83" s="49"/>
      <c r="G83" s="251"/>
      <c r="H83" s="251"/>
      <c r="I83" s="207"/>
      <c r="J83" s="218"/>
      <c r="K83" s="220"/>
      <c r="L83" s="197"/>
    </row>
    <row r="84" spans="1:19" ht="36" x14ac:dyDescent="0.25">
      <c r="A84" s="270"/>
      <c r="B84" s="288"/>
      <c r="C84" s="134" t="s">
        <v>105</v>
      </c>
      <c r="D84" s="248"/>
      <c r="E84" s="49"/>
      <c r="F84" s="49"/>
      <c r="G84" s="251"/>
      <c r="H84" s="251"/>
      <c r="I84" s="207"/>
      <c r="J84" s="218"/>
      <c r="K84" s="220"/>
      <c r="L84" s="197"/>
    </row>
    <row r="85" spans="1:19" ht="36" x14ac:dyDescent="0.25">
      <c r="A85" s="270"/>
      <c r="B85" s="288"/>
      <c r="C85" s="134" t="s">
        <v>106</v>
      </c>
      <c r="D85" s="248"/>
      <c r="E85" s="49"/>
      <c r="F85" s="49"/>
      <c r="G85" s="251"/>
      <c r="H85" s="251"/>
      <c r="I85" s="207"/>
      <c r="J85" s="218"/>
      <c r="K85" s="220"/>
      <c r="L85" s="197"/>
    </row>
    <row r="86" spans="1:19" ht="19.2" customHeight="1" x14ac:dyDescent="0.25">
      <c r="A86" s="270"/>
      <c r="B86" s="288"/>
      <c r="C86" s="134" t="s">
        <v>107</v>
      </c>
      <c r="D86" s="248"/>
      <c r="E86" s="49"/>
      <c r="F86" s="49"/>
      <c r="G86" s="251"/>
      <c r="H86" s="251"/>
      <c r="I86" s="207"/>
      <c r="J86" s="218"/>
      <c r="K86" s="220"/>
      <c r="L86" s="197"/>
    </row>
    <row r="87" spans="1:19" ht="19.2" customHeight="1" x14ac:dyDescent="0.25">
      <c r="A87" s="270"/>
      <c r="B87" s="288"/>
      <c r="C87" s="134" t="s">
        <v>108</v>
      </c>
      <c r="D87" s="248"/>
      <c r="E87" s="49"/>
      <c r="F87" s="49"/>
      <c r="G87" s="251"/>
      <c r="H87" s="251"/>
      <c r="I87" s="207"/>
      <c r="J87" s="218"/>
      <c r="K87" s="220"/>
      <c r="L87" s="197"/>
    </row>
    <row r="88" spans="1:19" ht="19.2" customHeight="1" x14ac:dyDescent="0.25">
      <c r="A88" s="270"/>
      <c r="B88" s="288"/>
      <c r="C88" s="134" t="s">
        <v>109</v>
      </c>
      <c r="D88" s="248"/>
      <c r="E88" s="49"/>
      <c r="F88" s="49"/>
      <c r="G88" s="251"/>
      <c r="H88" s="251"/>
      <c r="I88" s="207"/>
      <c r="J88" s="218"/>
      <c r="K88" s="220"/>
      <c r="L88" s="197"/>
    </row>
    <row r="89" spans="1:19" ht="36" x14ac:dyDescent="0.25">
      <c r="A89" s="270"/>
      <c r="B89" s="288"/>
      <c r="C89" s="134" t="s">
        <v>110</v>
      </c>
      <c r="D89" s="248"/>
      <c r="E89" s="49"/>
      <c r="F89" s="49"/>
      <c r="G89" s="251"/>
      <c r="H89" s="251"/>
      <c r="I89" s="207"/>
      <c r="J89" s="218"/>
      <c r="K89" s="220"/>
      <c r="L89" s="197"/>
    </row>
    <row r="90" spans="1:19" ht="36" x14ac:dyDescent="0.25">
      <c r="A90" s="270"/>
      <c r="B90" s="288"/>
      <c r="C90" s="134" t="s">
        <v>111</v>
      </c>
      <c r="D90" s="248"/>
      <c r="E90" s="49"/>
      <c r="F90" s="49"/>
      <c r="G90" s="251"/>
      <c r="H90" s="251"/>
      <c r="I90" s="207"/>
      <c r="J90" s="218"/>
      <c r="K90" s="220"/>
      <c r="L90" s="197"/>
    </row>
    <row r="91" spans="1:19" ht="90" x14ac:dyDescent="0.25">
      <c r="A91" s="270"/>
      <c r="B91" s="288"/>
      <c r="C91" s="134" t="s">
        <v>112</v>
      </c>
      <c r="D91" s="248"/>
      <c r="E91" s="49"/>
      <c r="F91" s="49"/>
      <c r="G91" s="251"/>
      <c r="H91" s="251"/>
      <c r="I91" s="207"/>
      <c r="J91" s="218"/>
      <c r="K91" s="220"/>
      <c r="L91" s="197"/>
    </row>
    <row r="92" spans="1:19" ht="19.2" customHeight="1" x14ac:dyDescent="0.25">
      <c r="A92" s="270"/>
      <c r="B92" s="288"/>
      <c r="C92" s="134" t="s">
        <v>113</v>
      </c>
      <c r="D92" s="248"/>
      <c r="E92" s="49"/>
      <c r="F92" s="49"/>
      <c r="G92" s="251"/>
      <c r="H92" s="251"/>
      <c r="I92" s="207"/>
      <c r="J92" s="218"/>
      <c r="K92" s="220"/>
      <c r="L92" s="197"/>
    </row>
    <row r="93" spans="1:19" ht="19.2" customHeight="1" x14ac:dyDescent="0.25">
      <c r="A93" s="270"/>
      <c r="B93" s="288"/>
      <c r="C93" s="134" t="s">
        <v>114</v>
      </c>
      <c r="D93" s="248"/>
      <c r="E93" s="49"/>
      <c r="F93" s="49"/>
      <c r="G93" s="251"/>
      <c r="H93" s="251"/>
      <c r="I93" s="207"/>
      <c r="J93" s="218"/>
      <c r="K93" s="220"/>
      <c r="L93" s="197"/>
    </row>
    <row r="94" spans="1:19" ht="36" x14ac:dyDescent="0.25">
      <c r="A94" s="270"/>
      <c r="B94" s="288"/>
      <c r="C94" s="134" t="s">
        <v>115</v>
      </c>
      <c r="D94" s="248"/>
      <c r="E94" s="49"/>
      <c r="F94" s="49"/>
      <c r="G94" s="251"/>
      <c r="H94" s="251"/>
      <c r="I94" s="207"/>
      <c r="J94" s="218"/>
      <c r="K94" s="220"/>
      <c r="L94" s="197"/>
    </row>
    <row r="95" spans="1:19" ht="36" x14ac:dyDescent="0.25">
      <c r="A95" s="270"/>
      <c r="B95" s="288"/>
      <c r="C95" s="134" t="s">
        <v>116</v>
      </c>
      <c r="D95" s="248"/>
      <c r="E95" s="49"/>
      <c r="F95" s="49"/>
      <c r="G95" s="251"/>
      <c r="H95" s="251"/>
      <c r="I95" s="207"/>
      <c r="J95" s="218"/>
      <c r="K95" s="220"/>
      <c r="L95" s="197"/>
    </row>
    <row r="96" spans="1:19" ht="19.2" customHeight="1" x14ac:dyDescent="0.25">
      <c r="A96" s="270"/>
      <c r="B96" s="288"/>
      <c r="C96" s="134" t="s">
        <v>117</v>
      </c>
      <c r="D96" s="248"/>
      <c r="E96" s="49"/>
      <c r="F96" s="49"/>
      <c r="G96" s="251"/>
      <c r="H96" s="251"/>
      <c r="I96" s="207"/>
      <c r="J96" s="218"/>
      <c r="K96" s="220"/>
      <c r="L96" s="197"/>
      <c r="S96" s="373"/>
    </row>
    <row r="97" spans="1:19" ht="19.2" customHeight="1" x14ac:dyDescent="0.25">
      <c r="A97" s="270"/>
      <c r="B97" s="288"/>
      <c r="C97" s="134" t="s">
        <v>118</v>
      </c>
      <c r="D97" s="248"/>
      <c r="E97" s="49"/>
      <c r="F97" s="49"/>
      <c r="G97" s="251"/>
      <c r="H97" s="251"/>
      <c r="I97" s="207"/>
      <c r="J97" s="218"/>
      <c r="K97" s="220"/>
      <c r="L97" s="197"/>
      <c r="S97" s="373"/>
    </row>
    <row r="98" spans="1:19" ht="19.2" customHeight="1" x14ac:dyDescent="0.25">
      <c r="A98" s="270"/>
      <c r="B98" s="288"/>
      <c r="C98" s="134" t="s">
        <v>119</v>
      </c>
      <c r="D98" s="248"/>
      <c r="E98" s="49"/>
      <c r="F98" s="49"/>
      <c r="G98" s="251"/>
      <c r="H98" s="251"/>
      <c r="I98" s="207"/>
      <c r="J98" s="218"/>
      <c r="K98" s="220"/>
      <c r="L98" s="197"/>
    </row>
    <row r="99" spans="1:19" ht="19.2" customHeight="1" x14ac:dyDescent="0.25">
      <c r="A99" s="270"/>
      <c r="B99" s="288"/>
      <c r="C99" s="134" t="s">
        <v>123</v>
      </c>
      <c r="D99" s="248"/>
      <c r="E99" s="49"/>
      <c r="F99" s="49"/>
      <c r="G99" s="251"/>
      <c r="H99" s="251"/>
      <c r="I99" s="207"/>
      <c r="J99" s="218"/>
      <c r="K99" s="220"/>
      <c r="L99" s="197"/>
    </row>
    <row r="100" spans="1:19" ht="19.2" customHeight="1" x14ac:dyDescent="0.25">
      <c r="A100" s="270"/>
      <c r="B100" s="288"/>
      <c r="C100" s="134" t="s">
        <v>124</v>
      </c>
      <c r="D100" s="248"/>
      <c r="E100" s="49"/>
      <c r="F100" s="49"/>
      <c r="G100" s="251"/>
      <c r="H100" s="251"/>
      <c r="I100" s="207"/>
      <c r="J100" s="218"/>
      <c r="K100" s="220"/>
      <c r="L100" s="197"/>
    </row>
    <row r="101" spans="1:19" ht="19.2" customHeight="1" x14ac:dyDescent="0.25">
      <c r="A101" s="270"/>
      <c r="B101" s="288"/>
      <c r="C101" s="134" t="s">
        <v>125</v>
      </c>
      <c r="D101" s="248"/>
      <c r="E101" s="49"/>
      <c r="F101" s="49"/>
      <c r="G101" s="251"/>
      <c r="H101" s="251"/>
      <c r="I101" s="207"/>
      <c r="J101" s="218"/>
      <c r="K101" s="220"/>
      <c r="L101" s="197"/>
    </row>
    <row r="102" spans="1:19" ht="19.2" customHeight="1" x14ac:dyDescent="0.25">
      <c r="A102" s="270"/>
      <c r="B102" s="288"/>
      <c r="C102" s="134" t="s">
        <v>126</v>
      </c>
      <c r="D102" s="248"/>
      <c r="E102" s="49"/>
      <c r="F102" s="49"/>
      <c r="G102" s="251"/>
      <c r="H102" s="251"/>
      <c r="I102" s="207"/>
      <c r="J102" s="218"/>
      <c r="K102" s="220"/>
      <c r="L102" s="197"/>
    </row>
    <row r="103" spans="1:19" ht="36" x14ac:dyDescent="0.25">
      <c r="A103" s="270"/>
      <c r="B103" s="288"/>
      <c r="C103" s="134" t="s">
        <v>127</v>
      </c>
      <c r="D103" s="248"/>
      <c r="E103" s="49"/>
      <c r="F103" s="49"/>
      <c r="G103" s="251"/>
      <c r="H103" s="251"/>
      <c r="I103" s="207"/>
      <c r="J103" s="218"/>
      <c r="K103" s="220"/>
      <c r="L103" s="197"/>
    </row>
    <row r="104" spans="1:19" ht="19.2" customHeight="1" x14ac:dyDescent="0.25">
      <c r="A104" s="270"/>
      <c r="B104" s="288"/>
      <c r="C104" s="134" t="s">
        <v>128</v>
      </c>
      <c r="D104" s="248"/>
      <c r="E104" s="49"/>
      <c r="F104" s="49"/>
      <c r="G104" s="251"/>
      <c r="H104" s="251"/>
      <c r="I104" s="207"/>
      <c r="J104" s="218"/>
      <c r="K104" s="220"/>
      <c r="L104" s="197"/>
    </row>
    <row r="105" spans="1:19" ht="36.6" thickBot="1" x14ac:dyDescent="0.3">
      <c r="A105" s="270"/>
      <c r="B105" s="289"/>
      <c r="C105" s="134" t="s">
        <v>129</v>
      </c>
      <c r="D105" s="248"/>
      <c r="E105" s="58"/>
      <c r="F105" s="58"/>
      <c r="G105" s="251"/>
      <c r="H105" s="251"/>
      <c r="I105" s="207"/>
      <c r="J105" s="218"/>
      <c r="K105" s="220"/>
      <c r="L105" s="197"/>
    </row>
    <row r="106" spans="1:19" ht="19.2" customHeight="1" thickBot="1" x14ac:dyDescent="0.3">
      <c r="A106" s="270"/>
      <c r="B106" s="150"/>
      <c r="C106" s="151"/>
      <c r="D106" s="286"/>
      <c r="E106" s="152"/>
      <c r="F106" s="136"/>
      <c r="G106" s="153"/>
      <c r="H106" s="136"/>
      <c r="I106" s="207"/>
      <c r="J106" s="218"/>
      <c r="K106" s="220"/>
      <c r="L106" s="197"/>
    </row>
    <row r="107" spans="1:19" ht="19.2" customHeight="1" x14ac:dyDescent="0.25">
      <c r="A107" s="270"/>
      <c r="B107" s="287" t="s">
        <v>132</v>
      </c>
      <c r="C107" s="50" t="s">
        <v>133</v>
      </c>
      <c r="D107" s="247" t="s">
        <v>131</v>
      </c>
      <c r="E107" s="109"/>
      <c r="F107" s="110"/>
      <c r="G107" s="253">
        <v>1</v>
      </c>
      <c r="H107" s="253" t="s">
        <v>595</v>
      </c>
      <c r="I107" s="207"/>
      <c r="J107" s="218"/>
      <c r="K107" s="220"/>
      <c r="L107" s="197"/>
    </row>
    <row r="108" spans="1:19" ht="19.2" customHeight="1" x14ac:dyDescent="0.25">
      <c r="A108" s="270"/>
      <c r="B108" s="288"/>
      <c r="C108" s="139" t="s">
        <v>134</v>
      </c>
      <c r="D108" s="248"/>
      <c r="E108" s="49"/>
      <c r="F108" s="14"/>
      <c r="G108" s="251"/>
      <c r="H108" s="251"/>
      <c r="I108" s="207"/>
      <c r="J108" s="218"/>
      <c r="K108" s="220"/>
      <c r="L108" s="197"/>
    </row>
    <row r="109" spans="1:19" ht="19.2" customHeight="1" x14ac:dyDescent="0.25">
      <c r="A109" s="270"/>
      <c r="B109" s="288"/>
      <c r="C109" s="139" t="s">
        <v>135</v>
      </c>
      <c r="D109" s="248"/>
      <c r="E109" s="49"/>
      <c r="F109" s="14"/>
      <c r="G109" s="251"/>
      <c r="H109" s="251"/>
      <c r="I109" s="207"/>
      <c r="J109" s="218"/>
      <c r="K109" s="220"/>
      <c r="L109" s="197"/>
    </row>
    <row r="110" spans="1:19" ht="19.2" customHeight="1" x14ac:dyDescent="0.25">
      <c r="A110" s="270"/>
      <c r="B110" s="288"/>
      <c r="C110" s="139" t="s">
        <v>136</v>
      </c>
      <c r="D110" s="248"/>
      <c r="E110" s="49"/>
      <c r="F110" s="14"/>
      <c r="G110" s="251"/>
      <c r="H110" s="251"/>
      <c r="I110" s="207"/>
      <c r="J110" s="218"/>
      <c r="K110" s="220"/>
      <c r="L110" s="197"/>
    </row>
    <row r="111" spans="1:19" ht="19.2" customHeight="1" x14ac:dyDescent="0.25">
      <c r="A111" s="270"/>
      <c r="B111" s="288"/>
      <c r="C111" s="139" t="s">
        <v>137</v>
      </c>
      <c r="D111" s="248"/>
      <c r="E111" s="49"/>
      <c r="F111" s="14"/>
      <c r="G111" s="251"/>
      <c r="H111" s="251"/>
      <c r="I111" s="207"/>
      <c r="J111" s="218"/>
      <c r="K111" s="220"/>
      <c r="L111" s="197"/>
    </row>
    <row r="112" spans="1:19" ht="19.2" customHeight="1" x14ac:dyDescent="0.25">
      <c r="A112" s="270"/>
      <c r="B112" s="288"/>
      <c r="C112" s="139" t="s">
        <v>138</v>
      </c>
      <c r="D112" s="248"/>
      <c r="E112" s="49"/>
      <c r="F112" s="14"/>
      <c r="G112" s="251"/>
      <c r="H112" s="251"/>
      <c r="I112" s="207"/>
      <c r="J112" s="218"/>
      <c r="K112" s="220"/>
      <c r="L112" s="197"/>
    </row>
    <row r="113" spans="1:12" ht="19.2" customHeight="1" x14ac:dyDescent="0.25">
      <c r="A113" s="270"/>
      <c r="B113" s="288"/>
      <c r="C113" s="139" t="s">
        <v>139</v>
      </c>
      <c r="D113" s="248"/>
      <c r="E113" s="49"/>
      <c r="F113" s="14"/>
      <c r="G113" s="251"/>
      <c r="H113" s="251"/>
      <c r="I113" s="207"/>
      <c r="J113" s="218"/>
      <c r="K113" s="220"/>
      <c r="L113" s="197"/>
    </row>
    <row r="114" spans="1:12" ht="19.2" customHeight="1" x14ac:dyDescent="0.25">
      <c r="A114" s="270"/>
      <c r="B114" s="288"/>
      <c r="C114" s="139" t="s">
        <v>140</v>
      </c>
      <c r="D114" s="248"/>
      <c r="E114" s="49"/>
      <c r="F114" s="14"/>
      <c r="G114" s="251"/>
      <c r="H114" s="251"/>
      <c r="I114" s="207"/>
      <c r="J114" s="218"/>
      <c r="K114" s="220"/>
      <c r="L114" s="197"/>
    </row>
    <row r="115" spans="1:12" ht="19.2" customHeight="1" thickBot="1" x14ac:dyDescent="0.35">
      <c r="A115" s="270"/>
      <c r="B115" s="323"/>
      <c r="C115" s="52" t="s">
        <v>141</v>
      </c>
      <c r="D115" s="249"/>
      <c r="E115" s="115"/>
      <c r="F115" s="116"/>
      <c r="G115" s="252"/>
      <c r="H115" s="252"/>
      <c r="I115" s="207"/>
      <c r="J115" s="218"/>
      <c r="K115" s="220"/>
      <c r="L115" s="197"/>
    </row>
    <row r="116" spans="1:12" ht="37.200000000000003" customHeight="1" x14ac:dyDescent="0.25">
      <c r="A116" s="270"/>
      <c r="B116" s="324" t="s">
        <v>143</v>
      </c>
      <c r="C116" s="50" t="s">
        <v>144</v>
      </c>
      <c r="D116" s="247" t="s">
        <v>150</v>
      </c>
      <c r="E116" s="109"/>
      <c r="F116" s="110"/>
      <c r="G116" s="253">
        <v>2</v>
      </c>
      <c r="H116" s="253" t="s">
        <v>595</v>
      </c>
      <c r="I116" s="207"/>
      <c r="J116" s="218"/>
      <c r="K116" s="220"/>
      <c r="L116" s="197"/>
    </row>
    <row r="117" spans="1:12" ht="19.2" customHeight="1" x14ac:dyDescent="0.25">
      <c r="A117" s="270"/>
      <c r="B117" s="325"/>
      <c r="C117" s="139" t="s">
        <v>145</v>
      </c>
      <c r="D117" s="248"/>
      <c r="E117" s="49"/>
      <c r="F117" s="14"/>
      <c r="G117" s="251"/>
      <c r="H117" s="251"/>
      <c r="I117" s="207"/>
      <c r="J117" s="218"/>
      <c r="K117" s="220"/>
      <c r="L117" s="197"/>
    </row>
    <row r="118" spans="1:12" ht="19.2" customHeight="1" x14ac:dyDescent="0.25">
      <c r="A118" s="270"/>
      <c r="B118" s="325"/>
      <c r="C118" s="139" t="s">
        <v>146</v>
      </c>
      <c r="D118" s="248"/>
      <c r="E118" s="49"/>
      <c r="F118" s="14"/>
      <c r="G118" s="251"/>
      <c r="H118" s="251"/>
      <c r="I118" s="207"/>
      <c r="J118" s="218"/>
      <c r="K118" s="220"/>
      <c r="L118" s="197"/>
    </row>
    <row r="119" spans="1:12" ht="19.2" customHeight="1" x14ac:dyDescent="0.25">
      <c r="A119" s="270"/>
      <c r="B119" s="325"/>
      <c r="C119" s="139" t="s">
        <v>147</v>
      </c>
      <c r="D119" s="248"/>
      <c r="E119" s="49"/>
      <c r="F119" s="14"/>
      <c r="G119" s="251"/>
      <c r="H119" s="251"/>
      <c r="I119" s="207"/>
      <c r="J119" s="218"/>
      <c r="K119" s="220"/>
      <c r="L119" s="197"/>
    </row>
    <row r="120" spans="1:12" ht="19.2" customHeight="1" x14ac:dyDescent="0.25">
      <c r="A120" s="270"/>
      <c r="B120" s="325"/>
      <c r="C120" s="139" t="s">
        <v>148</v>
      </c>
      <c r="D120" s="248"/>
      <c r="E120" s="49"/>
      <c r="F120" s="14"/>
      <c r="G120" s="251"/>
      <c r="H120" s="251"/>
      <c r="I120" s="207"/>
      <c r="J120" s="218"/>
      <c r="K120" s="220"/>
      <c r="L120" s="197"/>
    </row>
    <row r="121" spans="1:12" ht="37.200000000000003" customHeight="1" thickBot="1" x14ac:dyDescent="0.3">
      <c r="A121" s="270"/>
      <c r="B121" s="326"/>
      <c r="C121" s="51" t="s">
        <v>149</v>
      </c>
      <c r="D121" s="249"/>
      <c r="E121" s="115"/>
      <c r="F121" s="116"/>
      <c r="G121" s="252"/>
      <c r="H121" s="252"/>
      <c r="I121" s="208"/>
      <c r="J121" s="218"/>
      <c r="K121" s="220"/>
      <c r="L121" s="198"/>
    </row>
    <row r="122" spans="1:12" ht="37.200000000000003" customHeight="1" thickBot="1" x14ac:dyDescent="0.3">
      <c r="A122" s="270"/>
      <c r="B122" s="150" t="s">
        <v>130</v>
      </c>
      <c r="C122" s="374"/>
      <c r="D122" s="192"/>
      <c r="E122" s="170"/>
      <c r="F122" s="156"/>
      <c r="G122" s="156">
        <v>1</v>
      </c>
      <c r="H122" s="156" t="s">
        <v>595</v>
      </c>
      <c r="I122" s="193"/>
      <c r="J122" s="376">
        <v>199</v>
      </c>
      <c r="K122" s="375">
        <f>J122*J11</f>
        <v>8839.58</v>
      </c>
      <c r="L122" s="159">
        <f>K122*G122</f>
        <v>8839.58</v>
      </c>
    </row>
    <row r="123" spans="1:12" ht="52.95" customHeight="1" x14ac:dyDescent="0.25">
      <c r="A123" s="270"/>
      <c r="B123" s="320" t="s">
        <v>165</v>
      </c>
      <c r="C123" s="140" t="s">
        <v>152</v>
      </c>
      <c r="D123" s="248" t="s">
        <v>161</v>
      </c>
      <c r="E123" s="108"/>
      <c r="F123" s="38"/>
      <c r="G123" s="253">
        <v>3</v>
      </c>
      <c r="H123" s="322" t="s">
        <v>595</v>
      </c>
      <c r="I123" s="222" t="s">
        <v>602</v>
      </c>
      <c r="J123" s="212">
        <v>4561</v>
      </c>
      <c r="K123" s="215">
        <f>J123*G123*L11</f>
        <v>728928.98579999991</v>
      </c>
      <c r="L123" s="216">
        <f>K123</f>
        <v>728928.98579999991</v>
      </c>
    </row>
    <row r="124" spans="1:12" ht="19.2" customHeight="1" x14ac:dyDescent="0.25">
      <c r="A124" s="270"/>
      <c r="B124" s="320"/>
      <c r="C124" s="140" t="s">
        <v>153</v>
      </c>
      <c r="D124" s="248"/>
      <c r="E124" s="49"/>
      <c r="F124" s="14"/>
      <c r="G124" s="251"/>
      <c r="H124" s="251"/>
      <c r="I124" s="223"/>
      <c r="J124" s="213"/>
      <c r="K124" s="200"/>
      <c r="L124" s="197"/>
    </row>
    <row r="125" spans="1:12" ht="34.799999999999997" x14ac:dyDescent="0.25">
      <c r="A125" s="270"/>
      <c r="B125" s="320"/>
      <c r="C125" s="134" t="s">
        <v>151</v>
      </c>
      <c r="D125" s="248"/>
      <c r="E125" s="49"/>
      <c r="F125" s="14"/>
      <c r="G125" s="251"/>
      <c r="H125" s="251"/>
      <c r="I125" s="223"/>
      <c r="J125" s="213"/>
      <c r="K125" s="200"/>
      <c r="L125" s="197"/>
    </row>
    <row r="126" spans="1:12" ht="19.2" customHeight="1" x14ac:dyDescent="0.25">
      <c r="A126" s="270"/>
      <c r="B126" s="320"/>
      <c r="C126" s="140" t="s">
        <v>154</v>
      </c>
      <c r="D126" s="248"/>
      <c r="E126" s="49"/>
      <c r="F126" s="14"/>
      <c r="G126" s="251"/>
      <c r="H126" s="251"/>
      <c r="I126" s="223"/>
      <c r="J126" s="213"/>
      <c r="K126" s="200"/>
      <c r="L126" s="197"/>
    </row>
    <row r="127" spans="1:12" ht="19.2" customHeight="1" x14ac:dyDescent="0.25">
      <c r="A127" s="270"/>
      <c r="B127" s="320"/>
      <c r="C127" s="140" t="s">
        <v>155</v>
      </c>
      <c r="D127" s="248"/>
      <c r="E127" s="49"/>
      <c r="F127" s="14"/>
      <c r="G127" s="251"/>
      <c r="H127" s="251"/>
      <c r="I127" s="223"/>
      <c r="J127" s="213"/>
      <c r="K127" s="200"/>
      <c r="L127" s="197"/>
    </row>
    <row r="128" spans="1:12" ht="19.2" customHeight="1" x14ac:dyDescent="0.25">
      <c r="A128" s="270"/>
      <c r="B128" s="320"/>
      <c r="C128" s="140" t="s">
        <v>156</v>
      </c>
      <c r="D128" s="248"/>
      <c r="E128" s="49"/>
      <c r="F128" s="14"/>
      <c r="G128" s="251"/>
      <c r="H128" s="251"/>
      <c r="I128" s="223"/>
      <c r="J128" s="213"/>
      <c r="K128" s="200"/>
      <c r="L128" s="197"/>
    </row>
    <row r="129" spans="1:100" ht="19.2" customHeight="1" x14ac:dyDescent="0.25">
      <c r="A129" s="270"/>
      <c r="B129" s="320"/>
      <c r="C129" s="140" t="s">
        <v>157</v>
      </c>
      <c r="D129" s="248"/>
      <c r="E129" s="49"/>
      <c r="F129" s="14"/>
      <c r="G129" s="251"/>
      <c r="H129" s="251"/>
      <c r="I129" s="223"/>
      <c r="J129" s="213"/>
      <c r="K129" s="200"/>
      <c r="L129" s="197"/>
    </row>
    <row r="130" spans="1:100" ht="19.2" customHeight="1" x14ac:dyDescent="0.25">
      <c r="A130" s="270"/>
      <c r="B130" s="320"/>
      <c r="C130" s="140" t="s">
        <v>158</v>
      </c>
      <c r="D130" s="248"/>
      <c r="E130" s="49"/>
      <c r="F130" s="14"/>
      <c r="G130" s="251"/>
      <c r="H130" s="251"/>
      <c r="I130" s="223"/>
      <c r="J130" s="213"/>
      <c r="K130" s="200"/>
      <c r="L130" s="197"/>
    </row>
    <row r="131" spans="1:100" ht="19.2" customHeight="1" x14ac:dyDescent="0.25">
      <c r="A131" s="270"/>
      <c r="B131" s="320"/>
      <c r="C131" s="140" t="s">
        <v>159</v>
      </c>
      <c r="D131" s="248"/>
      <c r="E131" s="49"/>
      <c r="F131" s="14"/>
      <c r="G131" s="251"/>
      <c r="H131" s="251"/>
      <c r="I131" s="223"/>
      <c r="J131" s="213"/>
      <c r="K131" s="200"/>
      <c r="L131" s="197"/>
    </row>
    <row r="132" spans="1:100" ht="34.799999999999997" x14ac:dyDescent="0.25">
      <c r="A132" s="270"/>
      <c r="B132" s="320"/>
      <c r="C132" s="140" t="s">
        <v>160</v>
      </c>
      <c r="D132" s="248"/>
      <c r="E132" s="49"/>
      <c r="F132" s="14"/>
      <c r="G132" s="251"/>
      <c r="H132" s="251"/>
      <c r="I132" s="223"/>
      <c r="J132" s="213"/>
      <c r="K132" s="200"/>
      <c r="L132" s="197"/>
    </row>
    <row r="133" spans="1:100" ht="19.2" customHeight="1" x14ac:dyDescent="0.25">
      <c r="A133" s="270"/>
      <c r="B133" s="320"/>
      <c r="C133" s="139" t="s">
        <v>162</v>
      </c>
      <c r="D133" s="248"/>
      <c r="E133" s="49"/>
      <c r="F133" s="14"/>
      <c r="G133" s="251"/>
      <c r="H133" s="251"/>
      <c r="I133" s="223"/>
      <c r="J133" s="213"/>
      <c r="K133" s="200"/>
      <c r="L133" s="197"/>
    </row>
    <row r="134" spans="1:100" ht="34.799999999999997" x14ac:dyDescent="0.25">
      <c r="A134" s="270"/>
      <c r="B134" s="320"/>
      <c r="C134" s="139" t="s">
        <v>163</v>
      </c>
      <c r="D134" s="248"/>
      <c r="E134" s="49"/>
      <c r="F134" s="14"/>
      <c r="G134" s="251"/>
      <c r="H134" s="251"/>
      <c r="I134" s="223"/>
      <c r="J134" s="213"/>
      <c r="K134" s="200"/>
      <c r="L134" s="197"/>
    </row>
    <row r="135" spans="1:100" ht="52.8" thickBot="1" x14ac:dyDescent="0.3">
      <c r="A135" s="271"/>
      <c r="B135" s="321"/>
      <c r="C135" s="51" t="s">
        <v>164</v>
      </c>
      <c r="D135" s="249"/>
      <c r="E135" s="115"/>
      <c r="F135" s="116"/>
      <c r="G135" s="252"/>
      <c r="H135" s="252"/>
      <c r="I135" s="224"/>
      <c r="J135" s="214"/>
      <c r="K135" s="201"/>
      <c r="L135" s="198"/>
    </row>
    <row r="136" spans="1:100" s="63" customFormat="1" ht="64.2" customHeight="1" x14ac:dyDescent="0.25">
      <c r="A136" s="270" t="s">
        <v>174</v>
      </c>
      <c r="B136" s="327" t="s">
        <v>166</v>
      </c>
      <c r="C136" s="138" t="s">
        <v>168</v>
      </c>
      <c r="D136" s="330" t="s">
        <v>167</v>
      </c>
      <c r="E136" s="108"/>
      <c r="F136" s="38"/>
      <c r="G136" s="253">
        <v>5</v>
      </c>
      <c r="H136" s="333" t="s">
        <v>595</v>
      </c>
      <c r="I136" s="202" t="s">
        <v>603</v>
      </c>
      <c r="J136" s="367">
        <v>7900</v>
      </c>
      <c r="K136" s="345">
        <f>J136*L11</f>
        <v>420853.54</v>
      </c>
      <c r="L136" s="216">
        <f>K136*G136</f>
        <v>2104267.6999999997</v>
      </c>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spans="1:100" s="63" customFormat="1" ht="49.2" customHeight="1" x14ac:dyDescent="0.25">
      <c r="A137" s="270"/>
      <c r="B137" s="328"/>
      <c r="C137" s="62" t="s">
        <v>169</v>
      </c>
      <c r="D137" s="331"/>
      <c r="E137" s="49"/>
      <c r="F137" s="14"/>
      <c r="G137" s="251"/>
      <c r="H137" s="334"/>
      <c r="I137" s="203"/>
      <c r="J137" s="368"/>
      <c r="K137" s="205"/>
      <c r="L137" s="197"/>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spans="1:100" s="63" customFormat="1" ht="64.95" customHeight="1" thickBot="1" x14ac:dyDescent="0.3">
      <c r="A138" s="270"/>
      <c r="B138" s="329"/>
      <c r="C138" s="67" t="s">
        <v>170</v>
      </c>
      <c r="D138" s="332"/>
      <c r="E138" s="49"/>
      <c r="F138" s="14"/>
      <c r="G138" s="272"/>
      <c r="H138" s="334"/>
      <c r="I138" s="203"/>
      <c r="J138" s="368"/>
      <c r="K138" s="205"/>
      <c r="L138" s="197"/>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spans="1:100" s="63" customFormat="1" ht="97.8" customHeight="1" thickBot="1" x14ac:dyDescent="0.3">
      <c r="A139" s="270"/>
      <c r="B139" s="142" t="s">
        <v>171</v>
      </c>
      <c r="C139" s="143" t="s">
        <v>173</v>
      </c>
      <c r="D139" s="124" t="s">
        <v>172</v>
      </c>
      <c r="E139" s="144"/>
      <c r="F139" s="125"/>
      <c r="G139" s="42">
        <v>5</v>
      </c>
      <c r="H139" s="169" t="s">
        <v>595</v>
      </c>
      <c r="I139" s="204"/>
      <c r="J139" s="371"/>
      <c r="K139" s="206"/>
      <c r="L139" s="198"/>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spans="1:100" ht="35.4" customHeight="1" x14ac:dyDescent="0.25">
      <c r="A140" s="269" t="s">
        <v>573</v>
      </c>
      <c r="B140" s="264" t="s">
        <v>190</v>
      </c>
      <c r="C140" s="53" t="s">
        <v>175</v>
      </c>
      <c r="D140" s="247" t="s">
        <v>191</v>
      </c>
      <c r="E140" s="209" t="s">
        <v>599</v>
      </c>
      <c r="F140" s="146"/>
      <c r="G140" s="146"/>
      <c r="H140" s="253">
        <v>3</v>
      </c>
      <c r="I140" s="260"/>
      <c r="J140" s="207"/>
      <c r="K140" s="205">
        <v>21000</v>
      </c>
      <c r="L140" s="197">
        <f>K140*$H140</f>
        <v>63000</v>
      </c>
    </row>
    <row r="141" spans="1:100" ht="19.2" customHeight="1" x14ac:dyDescent="0.25">
      <c r="A141" s="270"/>
      <c r="B141" s="265"/>
      <c r="C141" s="134" t="s">
        <v>176</v>
      </c>
      <c r="D141" s="248"/>
      <c r="E141" s="210"/>
      <c r="F141" s="14"/>
      <c r="G141" s="14"/>
      <c r="H141" s="251"/>
      <c r="I141" s="207"/>
      <c r="J141" s="207"/>
      <c r="K141" s="205"/>
      <c r="L141" s="197"/>
    </row>
    <row r="142" spans="1:100" ht="19.2" customHeight="1" x14ac:dyDescent="0.25">
      <c r="A142" s="270"/>
      <c r="B142" s="265"/>
      <c r="C142" s="147" t="s">
        <v>177</v>
      </c>
      <c r="D142" s="248"/>
      <c r="E142" s="210"/>
      <c r="F142" s="14"/>
      <c r="G142" s="14"/>
      <c r="H142" s="251"/>
      <c r="I142" s="207"/>
      <c r="J142" s="207"/>
      <c r="K142" s="205"/>
      <c r="L142" s="197"/>
    </row>
    <row r="143" spans="1:100" ht="19.2" customHeight="1" x14ac:dyDescent="0.25">
      <c r="A143" s="270"/>
      <c r="B143" s="265"/>
      <c r="C143" s="147" t="s">
        <v>178</v>
      </c>
      <c r="D143" s="248"/>
      <c r="E143" s="210"/>
      <c r="F143" s="14"/>
      <c r="G143" s="14"/>
      <c r="H143" s="251"/>
      <c r="I143" s="207"/>
      <c r="J143" s="207"/>
      <c r="K143" s="205"/>
      <c r="L143" s="197"/>
    </row>
    <row r="144" spans="1:100" ht="19.2" customHeight="1" x14ac:dyDescent="0.25">
      <c r="A144" s="270"/>
      <c r="B144" s="265"/>
      <c r="C144" s="147" t="s">
        <v>179</v>
      </c>
      <c r="D144" s="248"/>
      <c r="E144" s="210"/>
      <c r="F144" s="14"/>
      <c r="G144" s="14"/>
      <c r="H144" s="251"/>
      <c r="I144" s="207"/>
      <c r="J144" s="207"/>
      <c r="K144" s="205"/>
      <c r="L144" s="197"/>
    </row>
    <row r="145" spans="1:12" ht="19.2" customHeight="1" x14ac:dyDescent="0.25">
      <c r="A145" s="270"/>
      <c r="B145" s="265"/>
      <c r="C145" s="147" t="s">
        <v>180</v>
      </c>
      <c r="D145" s="248"/>
      <c r="E145" s="210"/>
      <c r="F145" s="14"/>
      <c r="G145" s="14"/>
      <c r="H145" s="251"/>
      <c r="I145" s="207"/>
      <c r="J145" s="207"/>
      <c r="K145" s="205"/>
      <c r="L145" s="197"/>
    </row>
    <row r="146" spans="1:12" ht="19.2" customHeight="1" x14ac:dyDescent="0.25">
      <c r="A146" s="270"/>
      <c r="B146" s="265"/>
      <c r="C146" s="147" t="s">
        <v>181</v>
      </c>
      <c r="D146" s="248"/>
      <c r="E146" s="210"/>
      <c r="F146" s="14"/>
      <c r="G146" s="14"/>
      <c r="H146" s="251"/>
      <c r="I146" s="207"/>
      <c r="J146" s="207"/>
      <c r="K146" s="205"/>
      <c r="L146" s="197"/>
    </row>
    <row r="147" spans="1:12" ht="19.2" customHeight="1" x14ac:dyDescent="0.25">
      <c r="A147" s="270"/>
      <c r="B147" s="265"/>
      <c r="C147" s="147" t="s">
        <v>182</v>
      </c>
      <c r="D147" s="248"/>
      <c r="E147" s="210"/>
      <c r="F147" s="14"/>
      <c r="G147" s="14"/>
      <c r="H147" s="251"/>
      <c r="I147" s="207"/>
      <c r="J147" s="207"/>
      <c r="K147" s="205"/>
      <c r="L147" s="197"/>
    </row>
    <row r="148" spans="1:12" ht="19.2" customHeight="1" x14ac:dyDescent="0.25">
      <c r="A148" s="270"/>
      <c r="B148" s="265"/>
      <c r="C148" s="147" t="s">
        <v>183</v>
      </c>
      <c r="D148" s="248"/>
      <c r="E148" s="210"/>
      <c r="F148" s="14"/>
      <c r="G148" s="14"/>
      <c r="H148" s="251"/>
      <c r="I148" s="207"/>
      <c r="J148" s="207"/>
      <c r="K148" s="205"/>
      <c r="L148" s="197"/>
    </row>
    <row r="149" spans="1:12" ht="19.2" customHeight="1" x14ac:dyDescent="0.25">
      <c r="A149" s="270"/>
      <c r="B149" s="265"/>
      <c r="C149" s="147" t="s">
        <v>184</v>
      </c>
      <c r="D149" s="248"/>
      <c r="E149" s="210"/>
      <c r="F149" s="14"/>
      <c r="G149" s="14"/>
      <c r="H149" s="251"/>
      <c r="I149" s="207"/>
      <c r="J149" s="207"/>
      <c r="K149" s="205"/>
      <c r="L149" s="197"/>
    </row>
    <row r="150" spans="1:12" ht="19.2" customHeight="1" x14ac:dyDescent="0.25">
      <c r="A150" s="270"/>
      <c r="B150" s="265"/>
      <c r="C150" s="147" t="s">
        <v>185</v>
      </c>
      <c r="D150" s="248"/>
      <c r="E150" s="210"/>
      <c r="F150" s="14"/>
      <c r="G150" s="14"/>
      <c r="H150" s="251"/>
      <c r="I150" s="207"/>
      <c r="J150" s="207"/>
      <c r="K150" s="205"/>
      <c r="L150" s="197"/>
    </row>
    <row r="151" spans="1:12" ht="19.2" customHeight="1" x14ac:dyDescent="0.25">
      <c r="A151" s="270"/>
      <c r="B151" s="265"/>
      <c r="C151" s="147" t="s">
        <v>186</v>
      </c>
      <c r="D151" s="248"/>
      <c r="E151" s="210"/>
      <c r="F151" s="14"/>
      <c r="G151" s="14"/>
      <c r="H151" s="251"/>
      <c r="I151" s="207"/>
      <c r="J151" s="207"/>
      <c r="K151" s="205"/>
      <c r="L151" s="197"/>
    </row>
    <row r="152" spans="1:12" ht="19.2" customHeight="1" x14ac:dyDescent="0.25">
      <c r="A152" s="270"/>
      <c r="B152" s="265"/>
      <c r="C152" s="147" t="s">
        <v>187</v>
      </c>
      <c r="D152" s="248"/>
      <c r="E152" s="210"/>
      <c r="F152" s="14"/>
      <c r="G152" s="14"/>
      <c r="H152" s="251"/>
      <c r="I152" s="207"/>
      <c r="J152" s="207"/>
      <c r="K152" s="205"/>
      <c r="L152" s="197"/>
    </row>
    <row r="153" spans="1:12" ht="19.2" customHeight="1" x14ac:dyDescent="0.25">
      <c r="A153" s="270"/>
      <c r="B153" s="265"/>
      <c r="C153" s="147" t="s">
        <v>188</v>
      </c>
      <c r="D153" s="248"/>
      <c r="E153" s="210"/>
      <c r="F153" s="14"/>
      <c r="G153" s="14"/>
      <c r="H153" s="251"/>
      <c r="I153" s="207"/>
      <c r="J153" s="207"/>
      <c r="K153" s="205"/>
      <c r="L153" s="197"/>
    </row>
    <row r="154" spans="1:12" ht="19.2" customHeight="1" thickBot="1" x14ac:dyDescent="0.3">
      <c r="A154" s="271"/>
      <c r="B154" s="266"/>
      <c r="C154" s="68" t="s">
        <v>189</v>
      </c>
      <c r="D154" s="249"/>
      <c r="E154" s="211"/>
      <c r="F154" s="116"/>
      <c r="G154" s="116"/>
      <c r="H154" s="252"/>
      <c r="I154" s="208"/>
      <c r="J154" s="208"/>
      <c r="K154" s="206"/>
      <c r="L154" s="198"/>
    </row>
    <row r="155" spans="1:12" ht="35.4" customHeight="1" x14ac:dyDescent="0.3">
      <c r="A155" s="269" t="s">
        <v>192</v>
      </c>
      <c r="B155" s="244" t="s">
        <v>574</v>
      </c>
      <c r="C155" s="69" t="s">
        <v>193</v>
      </c>
      <c r="D155" s="247" t="s">
        <v>581</v>
      </c>
      <c r="E155" s="209"/>
      <c r="F155" s="110"/>
      <c r="G155" s="253">
        <v>1</v>
      </c>
      <c r="H155" s="253" t="s">
        <v>595</v>
      </c>
      <c r="I155" s="111"/>
      <c r="J155" s="345">
        <v>230000</v>
      </c>
      <c r="K155" s="345">
        <v>230000</v>
      </c>
      <c r="L155" s="216">
        <f>K155</f>
        <v>230000</v>
      </c>
    </row>
    <row r="156" spans="1:12" ht="17.399999999999999" x14ac:dyDescent="0.3">
      <c r="A156" s="270"/>
      <c r="B156" s="245"/>
      <c r="C156" s="149"/>
      <c r="D156" s="248"/>
      <c r="E156" s="210"/>
      <c r="F156" s="14"/>
      <c r="G156" s="251"/>
      <c r="H156" s="251"/>
      <c r="I156" s="15"/>
      <c r="J156" s="205"/>
      <c r="K156" s="205"/>
      <c r="L156" s="197"/>
    </row>
    <row r="157" spans="1:12" ht="34.799999999999997" x14ac:dyDescent="0.3">
      <c r="A157" s="270"/>
      <c r="B157" s="245"/>
      <c r="C157" s="145" t="s">
        <v>194</v>
      </c>
      <c r="D157" s="248"/>
      <c r="E157" s="210"/>
      <c r="F157" s="14"/>
      <c r="G157" s="251"/>
      <c r="H157" s="251"/>
      <c r="I157" s="15"/>
      <c r="J157" s="205"/>
      <c r="K157" s="205"/>
      <c r="L157" s="197"/>
    </row>
    <row r="158" spans="1:12" ht="17.399999999999999" x14ac:dyDescent="0.3">
      <c r="A158" s="270"/>
      <c r="B158" s="245"/>
      <c r="C158" s="149"/>
      <c r="D158" s="248"/>
      <c r="E158" s="210"/>
      <c r="F158" s="14"/>
      <c r="G158" s="251"/>
      <c r="H158" s="251"/>
      <c r="I158" s="15"/>
      <c r="J158" s="205"/>
      <c r="K158" s="205"/>
      <c r="L158" s="197"/>
    </row>
    <row r="159" spans="1:12" ht="34.799999999999997" x14ac:dyDescent="0.3">
      <c r="A159" s="270"/>
      <c r="B159" s="245"/>
      <c r="C159" s="145" t="s">
        <v>195</v>
      </c>
      <c r="D159" s="248"/>
      <c r="E159" s="210"/>
      <c r="F159" s="14"/>
      <c r="G159" s="251"/>
      <c r="H159" s="251"/>
      <c r="I159" s="15"/>
      <c r="J159" s="205"/>
      <c r="K159" s="205"/>
      <c r="L159" s="197"/>
    </row>
    <row r="160" spans="1:12" ht="17.399999999999999" x14ac:dyDescent="0.3">
      <c r="A160" s="270"/>
      <c r="B160" s="245"/>
      <c r="C160" s="149"/>
      <c r="D160" s="248"/>
      <c r="E160" s="210"/>
      <c r="F160" s="14"/>
      <c r="G160" s="251"/>
      <c r="H160" s="251"/>
      <c r="I160" s="15"/>
      <c r="J160" s="205"/>
      <c r="K160" s="205"/>
      <c r="L160" s="197"/>
    </row>
    <row r="161" spans="1:12" ht="34.799999999999997" x14ac:dyDescent="0.3">
      <c r="A161" s="270"/>
      <c r="B161" s="245"/>
      <c r="C161" s="145" t="s">
        <v>196</v>
      </c>
      <c r="D161" s="248"/>
      <c r="E161" s="210"/>
      <c r="F161" s="14"/>
      <c r="G161" s="251"/>
      <c r="H161" s="251"/>
      <c r="I161" s="15"/>
      <c r="J161" s="205"/>
      <c r="K161" s="205"/>
      <c r="L161" s="197"/>
    </row>
    <row r="162" spans="1:12" ht="17.399999999999999" x14ac:dyDescent="0.3">
      <c r="A162" s="270"/>
      <c r="B162" s="245"/>
      <c r="C162" s="149"/>
      <c r="D162" s="248"/>
      <c r="E162" s="210"/>
      <c r="F162" s="14"/>
      <c r="G162" s="251"/>
      <c r="H162" s="251"/>
      <c r="I162" s="15"/>
      <c r="J162" s="205"/>
      <c r="K162" s="205"/>
      <c r="L162" s="197"/>
    </row>
    <row r="163" spans="1:12" ht="17.399999999999999" x14ac:dyDescent="0.3">
      <c r="A163" s="270"/>
      <c r="B163" s="245"/>
      <c r="C163" s="145" t="s">
        <v>197</v>
      </c>
      <c r="D163" s="248"/>
      <c r="E163" s="210"/>
      <c r="F163" s="14"/>
      <c r="G163" s="251"/>
      <c r="H163" s="251"/>
      <c r="I163" s="15"/>
      <c r="J163" s="205"/>
      <c r="K163" s="205"/>
      <c r="L163" s="197"/>
    </row>
    <row r="164" spans="1:12" ht="17.399999999999999" x14ac:dyDescent="0.3">
      <c r="A164" s="270"/>
      <c r="B164" s="245"/>
      <c r="C164" s="149"/>
      <c r="D164" s="248"/>
      <c r="E164" s="210"/>
      <c r="F164" s="14"/>
      <c r="G164" s="251"/>
      <c r="H164" s="251"/>
      <c r="I164" s="15"/>
      <c r="J164" s="205"/>
      <c r="K164" s="205"/>
      <c r="L164" s="197"/>
    </row>
    <row r="165" spans="1:12" ht="17.399999999999999" x14ac:dyDescent="0.3">
      <c r="A165" s="270"/>
      <c r="B165" s="245"/>
      <c r="C165" s="145" t="s">
        <v>198</v>
      </c>
      <c r="D165" s="248"/>
      <c r="E165" s="210"/>
      <c r="F165" s="14"/>
      <c r="G165" s="251"/>
      <c r="H165" s="251"/>
      <c r="I165" s="15"/>
      <c r="J165" s="205"/>
      <c r="K165" s="205"/>
      <c r="L165" s="197"/>
    </row>
    <row r="166" spans="1:12" ht="19.2" customHeight="1" x14ac:dyDescent="0.3">
      <c r="A166" s="270"/>
      <c r="B166" s="245"/>
      <c r="C166" s="149"/>
      <c r="D166" s="248"/>
      <c r="E166" s="210"/>
      <c r="F166" s="14"/>
      <c r="G166" s="251"/>
      <c r="H166" s="251"/>
      <c r="I166" s="15"/>
      <c r="J166" s="205"/>
      <c r="K166" s="205"/>
      <c r="L166" s="197"/>
    </row>
    <row r="167" spans="1:12" ht="19.2" customHeight="1" x14ac:dyDescent="0.3">
      <c r="A167" s="270"/>
      <c r="B167" s="245"/>
      <c r="C167" s="145" t="s">
        <v>199</v>
      </c>
      <c r="D167" s="248"/>
      <c r="E167" s="210"/>
      <c r="F167" s="14"/>
      <c r="G167" s="251"/>
      <c r="H167" s="251"/>
      <c r="I167" s="15"/>
      <c r="J167" s="205"/>
      <c r="K167" s="205"/>
      <c r="L167" s="197"/>
    </row>
    <row r="168" spans="1:12" ht="19.2" customHeight="1" x14ac:dyDescent="0.3">
      <c r="A168" s="270"/>
      <c r="B168" s="245"/>
      <c r="C168" s="149"/>
      <c r="D168" s="248"/>
      <c r="E168" s="210"/>
      <c r="F168" s="14"/>
      <c r="G168" s="251"/>
      <c r="H168" s="251"/>
      <c r="I168" s="15"/>
      <c r="J168" s="205"/>
      <c r="K168" s="205"/>
      <c r="L168" s="197"/>
    </row>
    <row r="169" spans="1:12" ht="19.2" customHeight="1" x14ac:dyDescent="0.3">
      <c r="A169" s="270"/>
      <c r="B169" s="245"/>
      <c r="C169" s="145" t="s">
        <v>200</v>
      </c>
      <c r="D169" s="248"/>
      <c r="E169" s="210"/>
      <c r="F169" s="14"/>
      <c r="G169" s="251"/>
      <c r="H169" s="251"/>
      <c r="I169" s="15"/>
      <c r="J169" s="205"/>
      <c r="K169" s="205"/>
      <c r="L169" s="197"/>
    </row>
    <row r="170" spans="1:12" ht="19.2" customHeight="1" x14ac:dyDescent="0.3">
      <c r="A170" s="270"/>
      <c r="B170" s="245"/>
      <c r="C170" s="149"/>
      <c r="D170" s="248"/>
      <c r="E170" s="210"/>
      <c r="F170" s="14"/>
      <c r="G170" s="251"/>
      <c r="H170" s="251"/>
      <c r="I170" s="15"/>
      <c r="J170" s="205"/>
      <c r="K170" s="205"/>
      <c r="L170" s="197"/>
    </row>
    <row r="171" spans="1:12" ht="19.2" customHeight="1" x14ac:dyDescent="0.3">
      <c r="A171" s="270"/>
      <c r="B171" s="245"/>
      <c r="C171" s="145" t="s">
        <v>201</v>
      </c>
      <c r="D171" s="248"/>
      <c r="E171" s="210"/>
      <c r="F171" s="14"/>
      <c r="G171" s="251"/>
      <c r="H171" s="251"/>
      <c r="I171" s="15"/>
      <c r="J171" s="205"/>
      <c r="K171" s="205"/>
      <c r="L171" s="197"/>
    </row>
    <row r="172" spans="1:12" ht="19.2" customHeight="1" x14ac:dyDescent="0.3">
      <c r="A172" s="270"/>
      <c r="B172" s="245"/>
      <c r="C172" s="149"/>
      <c r="D172" s="248"/>
      <c r="E172" s="210"/>
      <c r="F172" s="14"/>
      <c r="G172" s="251"/>
      <c r="H172" s="251"/>
      <c r="I172" s="15"/>
      <c r="J172" s="205"/>
      <c r="K172" s="205"/>
      <c r="L172" s="197"/>
    </row>
    <row r="173" spans="1:12" ht="19.2" customHeight="1" thickBot="1" x14ac:dyDescent="0.35">
      <c r="A173" s="270"/>
      <c r="B173" s="246"/>
      <c r="C173" s="70" t="s">
        <v>202</v>
      </c>
      <c r="D173" s="249"/>
      <c r="E173" s="273"/>
      <c r="F173" s="14"/>
      <c r="G173" s="272"/>
      <c r="H173" s="272"/>
      <c r="I173" s="15"/>
      <c r="J173" s="314"/>
      <c r="K173" s="314"/>
      <c r="L173" s="352"/>
    </row>
    <row r="174" spans="1:12" ht="19.2" customHeight="1" x14ac:dyDescent="0.25">
      <c r="A174" s="270"/>
      <c r="B174" s="244" t="s">
        <v>203</v>
      </c>
      <c r="C174" s="57" t="s">
        <v>204</v>
      </c>
      <c r="D174" s="247" t="s">
        <v>331</v>
      </c>
      <c r="E174" s="274"/>
      <c r="F174" s="14"/>
      <c r="G174" s="250">
        <v>1</v>
      </c>
      <c r="H174" s="250" t="s">
        <v>595</v>
      </c>
      <c r="I174" s="15"/>
      <c r="J174" s="313">
        <v>175000</v>
      </c>
      <c r="K174" s="313">
        <v>175000</v>
      </c>
      <c r="L174" s="196">
        <f>K174</f>
        <v>175000</v>
      </c>
    </row>
    <row r="175" spans="1:12" ht="19.2" customHeight="1" x14ac:dyDescent="0.25">
      <c r="A175" s="270"/>
      <c r="B175" s="245"/>
      <c r="C175" s="140" t="s">
        <v>205</v>
      </c>
      <c r="D175" s="248"/>
      <c r="E175" s="210"/>
      <c r="F175" s="14"/>
      <c r="G175" s="251"/>
      <c r="H175" s="251"/>
      <c r="I175" s="15"/>
      <c r="J175" s="205"/>
      <c r="K175" s="205"/>
      <c r="L175" s="197"/>
    </row>
    <row r="176" spans="1:12" ht="19.2" customHeight="1" x14ac:dyDescent="0.25">
      <c r="A176" s="270"/>
      <c r="B176" s="245"/>
      <c r="C176" s="140" t="s">
        <v>206</v>
      </c>
      <c r="D176" s="248"/>
      <c r="E176" s="210"/>
      <c r="F176" s="14"/>
      <c r="G176" s="251"/>
      <c r="H176" s="251"/>
      <c r="I176" s="15"/>
      <c r="J176" s="205"/>
      <c r="K176" s="205"/>
      <c r="L176" s="197"/>
    </row>
    <row r="177" spans="1:12" ht="19.2" customHeight="1" x14ac:dyDescent="0.25">
      <c r="A177" s="270"/>
      <c r="B177" s="245"/>
      <c r="C177" s="140" t="s">
        <v>207</v>
      </c>
      <c r="D177" s="248"/>
      <c r="E177" s="210"/>
      <c r="F177" s="14"/>
      <c r="G177" s="251"/>
      <c r="H177" s="251"/>
      <c r="I177" s="15"/>
      <c r="J177" s="205"/>
      <c r="K177" s="205"/>
      <c r="L177" s="197"/>
    </row>
    <row r="178" spans="1:12" ht="17.399999999999999" x14ac:dyDescent="0.25">
      <c r="A178" s="270"/>
      <c r="B178" s="245"/>
      <c r="C178" s="140" t="s">
        <v>208</v>
      </c>
      <c r="D178" s="248"/>
      <c r="E178" s="210"/>
      <c r="F178" s="14"/>
      <c r="G178" s="251"/>
      <c r="H178" s="251"/>
      <c r="I178" s="15"/>
      <c r="J178" s="205"/>
      <c r="K178" s="205"/>
      <c r="L178" s="197"/>
    </row>
    <row r="179" spans="1:12" ht="19.2" customHeight="1" x14ac:dyDescent="0.25">
      <c r="A179" s="270"/>
      <c r="B179" s="245"/>
      <c r="C179" s="140" t="s">
        <v>209</v>
      </c>
      <c r="D179" s="248"/>
      <c r="E179" s="210"/>
      <c r="F179" s="14"/>
      <c r="G179" s="251"/>
      <c r="H179" s="251"/>
      <c r="I179" s="15"/>
      <c r="J179" s="205"/>
      <c r="K179" s="205"/>
      <c r="L179" s="197"/>
    </row>
    <row r="180" spans="1:12" ht="19.2" customHeight="1" x14ac:dyDescent="0.25">
      <c r="A180" s="270"/>
      <c r="B180" s="245"/>
      <c r="C180" s="140" t="s">
        <v>210</v>
      </c>
      <c r="D180" s="248"/>
      <c r="E180" s="210"/>
      <c r="F180" s="14"/>
      <c r="G180" s="251"/>
      <c r="H180" s="251"/>
      <c r="I180" s="15"/>
      <c r="J180" s="205"/>
      <c r="K180" s="205"/>
      <c r="L180" s="197"/>
    </row>
    <row r="181" spans="1:12" ht="19.2" customHeight="1" x14ac:dyDescent="0.25">
      <c r="A181" s="270"/>
      <c r="B181" s="245"/>
      <c r="C181" s="140" t="s">
        <v>211</v>
      </c>
      <c r="D181" s="248"/>
      <c r="E181" s="210"/>
      <c r="F181" s="14"/>
      <c r="G181" s="251"/>
      <c r="H181" s="251"/>
      <c r="I181" s="15"/>
      <c r="J181" s="205"/>
      <c r="K181" s="205"/>
      <c r="L181" s="197"/>
    </row>
    <row r="182" spans="1:12" ht="19.2" customHeight="1" x14ac:dyDescent="0.25">
      <c r="A182" s="270"/>
      <c r="B182" s="245"/>
      <c r="C182" s="140" t="s">
        <v>212</v>
      </c>
      <c r="D182" s="248"/>
      <c r="E182" s="210"/>
      <c r="F182" s="14"/>
      <c r="G182" s="251"/>
      <c r="H182" s="251"/>
      <c r="I182" s="15"/>
      <c r="J182" s="205"/>
      <c r="K182" s="205"/>
      <c r="L182" s="197"/>
    </row>
    <row r="183" spans="1:12" ht="19.2" customHeight="1" x14ac:dyDescent="0.25">
      <c r="A183" s="270"/>
      <c r="B183" s="245"/>
      <c r="C183" s="140" t="s">
        <v>213</v>
      </c>
      <c r="D183" s="248"/>
      <c r="E183" s="210"/>
      <c r="F183" s="14"/>
      <c r="G183" s="251"/>
      <c r="H183" s="251"/>
      <c r="I183" s="15"/>
      <c r="J183" s="205"/>
      <c r="K183" s="205"/>
      <c r="L183" s="197"/>
    </row>
    <row r="184" spans="1:12" ht="19.2" customHeight="1" x14ac:dyDescent="0.25">
      <c r="A184" s="270"/>
      <c r="B184" s="245"/>
      <c r="C184" s="140" t="s">
        <v>214</v>
      </c>
      <c r="D184" s="248"/>
      <c r="E184" s="210"/>
      <c r="F184" s="14"/>
      <c r="G184" s="251"/>
      <c r="H184" s="251"/>
      <c r="I184" s="15"/>
      <c r="J184" s="205"/>
      <c r="K184" s="205"/>
      <c r="L184" s="197"/>
    </row>
    <row r="185" spans="1:12" ht="19.2" customHeight="1" x14ac:dyDescent="0.25">
      <c r="A185" s="270"/>
      <c r="B185" s="245"/>
      <c r="C185" s="140" t="s">
        <v>215</v>
      </c>
      <c r="D185" s="248"/>
      <c r="E185" s="210"/>
      <c r="F185" s="14"/>
      <c r="G185" s="251"/>
      <c r="H185" s="251"/>
      <c r="I185" s="15"/>
      <c r="J185" s="205"/>
      <c r="K185" s="205"/>
      <c r="L185" s="197"/>
    </row>
    <row r="186" spans="1:12" ht="19.2" customHeight="1" x14ac:dyDescent="0.25">
      <c r="A186" s="270"/>
      <c r="B186" s="245"/>
      <c r="C186" s="140" t="s">
        <v>216</v>
      </c>
      <c r="D186" s="248"/>
      <c r="E186" s="210"/>
      <c r="F186" s="14"/>
      <c r="G186" s="251"/>
      <c r="H186" s="251"/>
      <c r="I186" s="15"/>
      <c r="J186" s="205"/>
      <c r="K186" s="205"/>
      <c r="L186" s="197"/>
    </row>
    <row r="187" spans="1:12" ht="34.799999999999997" x14ac:dyDescent="0.25">
      <c r="A187" s="270"/>
      <c r="B187" s="245"/>
      <c r="C187" s="140" t="s">
        <v>217</v>
      </c>
      <c r="D187" s="248"/>
      <c r="E187" s="210"/>
      <c r="F187" s="14"/>
      <c r="G187" s="251"/>
      <c r="H187" s="251"/>
      <c r="I187" s="15"/>
      <c r="J187" s="205"/>
      <c r="K187" s="205"/>
      <c r="L187" s="197"/>
    </row>
    <row r="188" spans="1:12" ht="19.2" customHeight="1" x14ac:dyDescent="0.25">
      <c r="A188" s="270"/>
      <c r="B188" s="245"/>
      <c r="C188" s="140" t="s">
        <v>218</v>
      </c>
      <c r="D188" s="248"/>
      <c r="E188" s="210"/>
      <c r="F188" s="14"/>
      <c r="G188" s="251"/>
      <c r="H188" s="251"/>
      <c r="I188" s="15"/>
      <c r="J188" s="205"/>
      <c r="K188" s="205"/>
      <c r="L188" s="197"/>
    </row>
    <row r="189" spans="1:12" ht="19.2" customHeight="1" thickBot="1" x14ac:dyDescent="0.3">
      <c r="A189" s="271"/>
      <c r="B189" s="246"/>
      <c r="C189" s="71" t="s">
        <v>219</v>
      </c>
      <c r="D189" s="249"/>
      <c r="E189" s="211"/>
      <c r="F189" s="116"/>
      <c r="G189" s="252"/>
      <c r="H189" s="252"/>
      <c r="I189" s="117"/>
      <c r="J189" s="206"/>
      <c r="K189" s="206"/>
      <c r="L189" s="198"/>
    </row>
    <row r="190" spans="1:12" ht="52.2" customHeight="1" x14ac:dyDescent="0.25">
      <c r="A190" s="269" t="s">
        <v>220</v>
      </c>
      <c r="B190" s="244" t="s">
        <v>221</v>
      </c>
      <c r="C190" s="74" t="s">
        <v>222</v>
      </c>
      <c r="D190" s="247" t="s">
        <v>575</v>
      </c>
      <c r="E190" s="209"/>
      <c r="F190" s="110"/>
      <c r="G190" s="253">
        <v>3</v>
      </c>
      <c r="H190" s="253" t="s">
        <v>595</v>
      </c>
      <c r="I190" s="260" t="s">
        <v>609</v>
      </c>
      <c r="J190" s="342">
        <v>65000</v>
      </c>
      <c r="K190" s="342">
        <f>J190*G190</f>
        <v>195000</v>
      </c>
      <c r="L190" s="216">
        <f>K190</f>
        <v>195000</v>
      </c>
    </row>
    <row r="191" spans="1:12" ht="17.399999999999999" customHeight="1" x14ac:dyDescent="0.25">
      <c r="A191" s="270"/>
      <c r="B191" s="245"/>
      <c r="C191" s="148" t="s">
        <v>223</v>
      </c>
      <c r="D191" s="248"/>
      <c r="E191" s="210"/>
      <c r="F191" s="14"/>
      <c r="G191" s="251"/>
      <c r="H191" s="251"/>
      <c r="I191" s="207"/>
      <c r="J191" s="343"/>
      <c r="K191" s="343"/>
      <c r="L191" s="197"/>
    </row>
    <row r="192" spans="1:12" ht="17.399999999999999" customHeight="1" x14ac:dyDescent="0.25">
      <c r="A192" s="270"/>
      <c r="B192" s="245"/>
      <c r="C192" s="148" t="s">
        <v>224</v>
      </c>
      <c r="D192" s="248"/>
      <c r="E192" s="210"/>
      <c r="F192" s="14"/>
      <c r="G192" s="251"/>
      <c r="H192" s="251"/>
      <c r="I192" s="207"/>
      <c r="J192" s="343"/>
      <c r="K192" s="343"/>
      <c r="L192" s="197"/>
    </row>
    <row r="193" spans="1:12" ht="17.399999999999999" customHeight="1" x14ac:dyDescent="0.25">
      <c r="A193" s="270"/>
      <c r="B193" s="245"/>
      <c r="C193" s="148" t="s">
        <v>225</v>
      </c>
      <c r="D193" s="248"/>
      <c r="E193" s="210"/>
      <c r="F193" s="14"/>
      <c r="G193" s="251"/>
      <c r="H193" s="251"/>
      <c r="I193" s="207"/>
      <c r="J193" s="343"/>
      <c r="K193" s="343"/>
      <c r="L193" s="197"/>
    </row>
    <row r="194" spans="1:12" ht="17.399999999999999" customHeight="1" x14ac:dyDescent="0.25">
      <c r="A194" s="270"/>
      <c r="B194" s="245"/>
      <c r="C194" s="148" t="s">
        <v>226</v>
      </c>
      <c r="D194" s="248"/>
      <c r="E194" s="210"/>
      <c r="F194" s="14"/>
      <c r="G194" s="251"/>
      <c r="H194" s="251"/>
      <c r="I194" s="207"/>
      <c r="J194" s="343"/>
      <c r="K194" s="343"/>
      <c r="L194" s="197"/>
    </row>
    <row r="195" spans="1:12" ht="17.399999999999999" customHeight="1" x14ac:dyDescent="0.25">
      <c r="A195" s="270"/>
      <c r="B195" s="245"/>
      <c r="C195" s="148" t="s">
        <v>227</v>
      </c>
      <c r="D195" s="248"/>
      <c r="E195" s="210"/>
      <c r="F195" s="14"/>
      <c r="G195" s="251"/>
      <c r="H195" s="251"/>
      <c r="I195" s="207"/>
      <c r="J195" s="343"/>
      <c r="K195" s="343"/>
      <c r="L195" s="197"/>
    </row>
    <row r="196" spans="1:12" ht="17.399999999999999" customHeight="1" x14ac:dyDescent="0.25">
      <c r="A196" s="270"/>
      <c r="B196" s="245"/>
      <c r="C196" s="148" t="s">
        <v>228</v>
      </c>
      <c r="D196" s="248"/>
      <c r="E196" s="210"/>
      <c r="F196" s="14"/>
      <c r="G196" s="251"/>
      <c r="H196" s="251"/>
      <c r="I196" s="207"/>
      <c r="J196" s="343"/>
      <c r="K196" s="343"/>
      <c r="L196" s="197"/>
    </row>
    <row r="197" spans="1:12" ht="17.399999999999999" customHeight="1" x14ac:dyDescent="0.25">
      <c r="A197" s="270"/>
      <c r="B197" s="245"/>
      <c r="C197" s="148" t="s">
        <v>229</v>
      </c>
      <c r="D197" s="248"/>
      <c r="E197" s="210"/>
      <c r="F197" s="14"/>
      <c r="G197" s="251"/>
      <c r="H197" s="251"/>
      <c r="I197" s="207"/>
      <c r="J197" s="343"/>
      <c r="K197" s="343"/>
      <c r="L197" s="197"/>
    </row>
    <row r="198" spans="1:12" ht="17.399999999999999" customHeight="1" x14ac:dyDescent="0.25">
      <c r="A198" s="270"/>
      <c r="B198" s="245"/>
      <c r="C198" s="148" t="s">
        <v>230</v>
      </c>
      <c r="D198" s="248"/>
      <c r="E198" s="210"/>
      <c r="F198" s="14"/>
      <c r="G198" s="251"/>
      <c r="H198" s="251"/>
      <c r="I198" s="207"/>
      <c r="J198" s="343"/>
      <c r="K198" s="343"/>
      <c r="L198" s="197"/>
    </row>
    <row r="199" spans="1:12" ht="17.399999999999999" customHeight="1" x14ac:dyDescent="0.25">
      <c r="A199" s="270"/>
      <c r="B199" s="245"/>
      <c r="C199" s="148" t="s">
        <v>231</v>
      </c>
      <c r="D199" s="248"/>
      <c r="E199" s="210"/>
      <c r="F199" s="14"/>
      <c r="G199" s="251"/>
      <c r="H199" s="251"/>
      <c r="I199" s="207"/>
      <c r="J199" s="343"/>
      <c r="K199" s="343"/>
      <c r="L199" s="197"/>
    </row>
    <row r="200" spans="1:12" ht="17.399999999999999" customHeight="1" x14ac:dyDescent="0.25">
      <c r="A200" s="270"/>
      <c r="B200" s="245"/>
      <c r="C200" s="148" t="s">
        <v>232</v>
      </c>
      <c r="D200" s="248"/>
      <c r="E200" s="210"/>
      <c r="F200" s="14"/>
      <c r="G200" s="251"/>
      <c r="H200" s="251"/>
      <c r="I200" s="207"/>
      <c r="J200" s="343"/>
      <c r="K200" s="343"/>
      <c r="L200" s="197"/>
    </row>
    <row r="201" spans="1:12" ht="17.399999999999999" customHeight="1" x14ac:dyDescent="0.25">
      <c r="A201" s="270"/>
      <c r="B201" s="245"/>
      <c r="C201" s="148" t="s">
        <v>233</v>
      </c>
      <c r="D201" s="248"/>
      <c r="E201" s="210"/>
      <c r="F201" s="14"/>
      <c r="G201" s="251"/>
      <c r="H201" s="251"/>
      <c r="I201" s="207"/>
      <c r="J201" s="343"/>
      <c r="K201" s="343"/>
      <c r="L201" s="197"/>
    </row>
    <row r="202" spans="1:12" ht="17.399999999999999" customHeight="1" x14ac:dyDescent="0.25">
      <c r="A202" s="270"/>
      <c r="B202" s="245"/>
      <c r="C202" s="148" t="s">
        <v>234</v>
      </c>
      <c r="D202" s="248"/>
      <c r="E202" s="210"/>
      <c r="F202" s="14"/>
      <c r="G202" s="251"/>
      <c r="H202" s="251"/>
      <c r="I202" s="207"/>
      <c r="J202" s="343"/>
      <c r="K202" s="343"/>
      <c r="L202" s="197"/>
    </row>
    <row r="203" spans="1:12" ht="17.399999999999999" customHeight="1" x14ac:dyDescent="0.25">
      <c r="A203" s="270"/>
      <c r="B203" s="245"/>
      <c r="C203" s="148" t="s">
        <v>235</v>
      </c>
      <c r="D203" s="248"/>
      <c r="E203" s="210"/>
      <c r="F203" s="14"/>
      <c r="G203" s="251"/>
      <c r="H203" s="251"/>
      <c r="I203" s="207"/>
      <c r="J203" s="343"/>
      <c r="K203" s="343"/>
      <c r="L203" s="197"/>
    </row>
    <row r="204" spans="1:12" ht="17.399999999999999" customHeight="1" x14ac:dyDescent="0.25">
      <c r="A204" s="270"/>
      <c r="B204" s="245"/>
      <c r="C204" s="148" t="s">
        <v>236</v>
      </c>
      <c r="D204" s="248"/>
      <c r="E204" s="210"/>
      <c r="F204" s="14"/>
      <c r="G204" s="251"/>
      <c r="H204" s="251"/>
      <c r="I204" s="207"/>
      <c r="J204" s="343"/>
      <c r="K204" s="343"/>
      <c r="L204" s="197"/>
    </row>
    <row r="205" spans="1:12" ht="17.399999999999999" customHeight="1" x14ac:dyDescent="0.25">
      <c r="A205" s="270"/>
      <c r="B205" s="245"/>
      <c r="C205" s="148" t="s">
        <v>237</v>
      </c>
      <c r="D205" s="248"/>
      <c r="E205" s="210"/>
      <c r="F205" s="14"/>
      <c r="G205" s="251"/>
      <c r="H205" s="251"/>
      <c r="I205" s="207"/>
      <c r="J205" s="343"/>
      <c r="K205" s="343"/>
      <c r="L205" s="197"/>
    </row>
    <row r="206" spans="1:12" ht="17.399999999999999" customHeight="1" x14ac:dyDescent="0.25">
      <c r="A206" s="270"/>
      <c r="B206" s="245"/>
      <c r="C206" s="148" t="s">
        <v>238</v>
      </c>
      <c r="D206" s="248"/>
      <c r="E206" s="210"/>
      <c r="F206" s="14"/>
      <c r="G206" s="251"/>
      <c r="H206" s="251"/>
      <c r="I206" s="207"/>
      <c r="J206" s="343"/>
      <c r="K206" s="343"/>
      <c r="L206" s="197"/>
    </row>
    <row r="207" spans="1:12" ht="17.399999999999999" customHeight="1" x14ac:dyDescent="0.25">
      <c r="A207" s="270"/>
      <c r="B207" s="245"/>
      <c r="C207" s="148" t="s">
        <v>239</v>
      </c>
      <c r="D207" s="248"/>
      <c r="E207" s="210"/>
      <c r="F207" s="14"/>
      <c r="G207" s="251"/>
      <c r="H207" s="251"/>
      <c r="I207" s="207"/>
      <c r="J207" s="343"/>
      <c r="K207" s="343"/>
      <c r="L207" s="197"/>
    </row>
    <row r="208" spans="1:12" ht="17.399999999999999" customHeight="1" x14ac:dyDescent="0.25">
      <c r="A208" s="270"/>
      <c r="B208" s="245"/>
      <c r="C208" s="148" t="s">
        <v>240</v>
      </c>
      <c r="D208" s="248"/>
      <c r="E208" s="210"/>
      <c r="F208" s="14"/>
      <c r="G208" s="251"/>
      <c r="H208" s="251"/>
      <c r="I208" s="207"/>
      <c r="J208" s="343"/>
      <c r="K208" s="343"/>
      <c r="L208" s="197"/>
    </row>
    <row r="209" spans="1:12" ht="17.399999999999999" customHeight="1" x14ac:dyDescent="0.25">
      <c r="A209" s="270"/>
      <c r="B209" s="245"/>
      <c r="C209" s="148" t="s">
        <v>241</v>
      </c>
      <c r="D209" s="248"/>
      <c r="E209" s="210"/>
      <c r="F209" s="14"/>
      <c r="G209" s="251"/>
      <c r="H209" s="251"/>
      <c r="I209" s="207"/>
      <c r="J209" s="343"/>
      <c r="K209" s="343"/>
      <c r="L209" s="197"/>
    </row>
    <row r="210" spans="1:12" ht="17.399999999999999" customHeight="1" x14ac:dyDescent="0.25">
      <c r="A210" s="270"/>
      <c r="B210" s="245"/>
      <c r="C210" s="148" t="s">
        <v>242</v>
      </c>
      <c r="D210" s="248"/>
      <c r="E210" s="210"/>
      <c r="F210" s="14"/>
      <c r="G210" s="251"/>
      <c r="H210" s="251"/>
      <c r="I210" s="207"/>
      <c r="J210" s="343"/>
      <c r="K210" s="343"/>
      <c r="L210" s="197"/>
    </row>
    <row r="211" spans="1:12" ht="17.399999999999999" customHeight="1" x14ac:dyDescent="0.25">
      <c r="A211" s="270"/>
      <c r="B211" s="245"/>
      <c r="C211" s="148" t="s">
        <v>243</v>
      </c>
      <c r="D211" s="248"/>
      <c r="E211" s="210"/>
      <c r="F211" s="14"/>
      <c r="G211" s="251"/>
      <c r="H211" s="251"/>
      <c r="I211" s="207"/>
      <c r="J211" s="343"/>
      <c r="K211" s="343"/>
      <c r="L211" s="197"/>
    </row>
    <row r="212" spans="1:12" ht="17.399999999999999" customHeight="1" x14ac:dyDescent="0.25">
      <c r="A212" s="270"/>
      <c r="B212" s="245"/>
      <c r="C212" s="148" t="s">
        <v>244</v>
      </c>
      <c r="D212" s="248"/>
      <c r="E212" s="210"/>
      <c r="F212" s="14"/>
      <c r="G212" s="251"/>
      <c r="H212" s="251"/>
      <c r="I212" s="207"/>
      <c r="J212" s="343"/>
      <c r="K212" s="343"/>
      <c r="L212" s="197"/>
    </row>
    <row r="213" spans="1:12" ht="17.399999999999999" customHeight="1" x14ac:dyDescent="0.25">
      <c r="A213" s="270"/>
      <c r="B213" s="245"/>
      <c r="C213" s="148" t="s">
        <v>245</v>
      </c>
      <c r="D213" s="248"/>
      <c r="E213" s="210"/>
      <c r="F213" s="14"/>
      <c r="G213" s="251"/>
      <c r="H213" s="251"/>
      <c r="I213" s="207"/>
      <c r="J213" s="343"/>
      <c r="K213" s="343"/>
      <c r="L213" s="197"/>
    </row>
    <row r="214" spans="1:12" ht="17.399999999999999" customHeight="1" thickBot="1" x14ac:dyDescent="0.3">
      <c r="A214" s="271"/>
      <c r="B214" s="246"/>
      <c r="C214" s="75" t="s">
        <v>246</v>
      </c>
      <c r="D214" s="249"/>
      <c r="E214" s="211"/>
      <c r="F214" s="116"/>
      <c r="G214" s="252"/>
      <c r="H214" s="252"/>
      <c r="I214" s="208"/>
      <c r="J214" s="344"/>
      <c r="K214" s="344"/>
      <c r="L214" s="198"/>
    </row>
    <row r="215" spans="1:12" ht="17.399999999999999" customHeight="1" x14ac:dyDescent="0.25">
      <c r="A215" s="269" t="s">
        <v>576</v>
      </c>
      <c r="B215" s="244" t="s">
        <v>247</v>
      </c>
      <c r="C215" s="76" t="s">
        <v>248</v>
      </c>
      <c r="D215" s="247" t="s">
        <v>290</v>
      </c>
      <c r="E215" s="209" t="s">
        <v>608</v>
      </c>
      <c r="F215" s="253"/>
      <c r="G215" s="253">
        <v>1</v>
      </c>
      <c r="H215" s="253" t="s">
        <v>12</v>
      </c>
      <c r="I215" s="260"/>
      <c r="J215" s="367">
        <v>35000</v>
      </c>
      <c r="K215" s="345">
        <f>J215*L11</f>
        <v>1864541</v>
      </c>
      <c r="L215" s="216">
        <f>K215</f>
        <v>1864541</v>
      </c>
    </row>
    <row r="216" spans="1:12" ht="17.399999999999999" customHeight="1" x14ac:dyDescent="0.25">
      <c r="A216" s="270"/>
      <c r="B216" s="245"/>
      <c r="C216" s="123" t="s">
        <v>249</v>
      </c>
      <c r="D216" s="248"/>
      <c r="E216" s="210"/>
      <c r="F216" s="251"/>
      <c r="G216" s="251"/>
      <c r="H216" s="251"/>
      <c r="I216" s="207"/>
      <c r="J216" s="368"/>
      <c r="K216" s="205"/>
      <c r="L216" s="197"/>
    </row>
    <row r="217" spans="1:12" ht="17.399999999999999" customHeight="1" x14ac:dyDescent="0.25">
      <c r="A217" s="270"/>
      <c r="B217" s="245"/>
      <c r="C217" s="123" t="s">
        <v>250</v>
      </c>
      <c r="D217" s="248"/>
      <c r="E217" s="210"/>
      <c r="F217" s="251"/>
      <c r="G217" s="251"/>
      <c r="H217" s="251"/>
      <c r="I217" s="207"/>
      <c r="J217" s="368"/>
      <c r="K217" s="205"/>
      <c r="L217" s="197"/>
    </row>
    <row r="218" spans="1:12" ht="17.399999999999999" customHeight="1" x14ac:dyDescent="0.25">
      <c r="A218" s="270"/>
      <c r="B218" s="245"/>
      <c r="C218" s="123" t="s">
        <v>251</v>
      </c>
      <c r="D218" s="248"/>
      <c r="E218" s="210"/>
      <c r="F218" s="251"/>
      <c r="G218" s="251"/>
      <c r="H218" s="251"/>
      <c r="I218" s="207"/>
      <c r="J218" s="368"/>
      <c r="K218" s="205"/>
      <c r="L218" s="197"/>
    </row>
    <row r="219" spans="1:12" ht="17.399999999999999" customHeight="1" x14ac:dyDescent="0.25">
      <c r="A219" s="270"/>
      <c r="B219" s="245"/>
      <c r="C219" s="123" t="s">
        <v>252</v>
      </c>
      <c r="D219" s="248"/>
      <c r="E219" s="210"/>
      <c r="F219" s="251"/>
      <c r="G219" s="251"/>
      <c r="H219" s="251"/>
      <c r="I219" s="207"/>
      <c r="J219" s="368"/>
      <c r="K219" s="205"/>
      <c r="L219" s="197"/>
    </row>
    <row r="220" spans="1:12" ht="17.399999999999999" customHeight="1" x14ac:dyDescent="0.25">
      <c r="A220" s="270"/>
      <c r="B220" s="245"/>
      <c r="C220" s="123" t="s">
        <v>253</v>
      </c>
      <c r="D220" s="248"/>
      <c r="E220" s="210"/>
      <c r="F220" s="251"/>
      <c r="G220" s="251"/>
      <c r="H220" s="251"/>
      <c r="I220" s="207"/>
      <c r="J220" s="368"/>
      <c r="K220" s="205"/>
      <c r="L220" s="197"/>
    </row>
    <row r="221" spans="1:12" ht="17.399999999999999" customHeight="1" x14ac:dyDescent="0.25">
      <c r="A221" s="270"/>
      <c r="B221" s="245"/>
      <c r="C221" s="123" t="s">
        <v>254</v>
      </c>
      <c r="D221" s="248"/>
      <c r="E221" s="210"/>
      <c r="F221" s="251"/>
      <c r="G221" s="251"/>
      <c r="H221" s="251"/>
      <c r="I221" s="207"/>
      <c r="J221" s="368"/>
      <c r="K221" s="205"/>
      <c r="L221" s="197"/>
    </row>
    <row r="222" spans="1:12" ht="17.399999999999999" customHeight="1" x14ac:dyDescent="0.25">
      <c r="A222" s="270"/>
      <c r="B222" s="245"/>
      <c r="C222" s="123" t="s">
        <v>255</v>
      </c>
      <c r="D222" s="248"/>
      <c r="E222" s="210"/>
      <c r="F222" s="251"/>
      <c r="G222" s="251"/>
      <c r="H222" s="251"/>
      <c r="I222" s="207"/>
      <c r="J222" s="368"/>
      <c r="K222" s="205"/>
      <c r="L222" s="197"/>
    </row>
    <row r="223" spans="1:12" ht="17.399999999999999" customHeight="1" x14ac:dyDescent="0.25">
      <c r="A223" s="270"/>
      <c r="B223" s="245"/>
      <c r="C223" s="123" t="s">
        <v>256</v>
      </c>
      <c r="D223" s="248"/>
      <c r="E223" s="210"/>
      <c r="F223" s="251"/>
      <c r="G223" s="251"/>
      <c r="H223" s="251"/>
      <c r="I223" s="207"/>
      <c r="J223" s="368"/>
      <c r="K223" s="205"/>
      <c r="L223" s="197"/>
    </row>
    <row r="224" spans="1:12" ht="17.399999999999999" customHeight="1" x14ac:dyDescent="0.25">
      <c r="A224" s="270"/>
      <c r="B224" s="245"/>
      <c r="C224" s="123" t="s">
        <v>257</v>
      </c>
      <c r="D224" s="248"/>
      <c r="E224" s="210"/>
      <c r="F224" s="251"/>
      <c r="G224" s="251"/>
      <c r="H224" s="251"/>
      <c r="I224" s="207"/>
      <c r="J224" s="368"/>
      <c r="K224" s="205"/>
      <c r="L224" s="197"/>
    </row>
    <row r="225" spans="1:12" ht="17.399999999999999" customHeight="1" x14ac:dyDescent="0.25">
      <c r="A225" s="270"/>
      <c r="B225" s="245"/>
      <c r="C225" s="123" t="s">
        <v>258</v>
      </c>
      <c r="D225" s="248"/>
      <c r="E225" s="210"/>
      <c r="F225" s="251"/>
      <c r="G225" s="251"/>
      <c r="H225" s="251"/>
      <c r="I225" s="207"/>
      <c r="J225" s="368"/>
      <c r="K225" s="205"/>
      <c r="L225" s="197"/>
    </row>
    <row r="226" spans="1:12" ht="17.399999999999999" customHeight="1" x14ac:dyDescent="0.25">
      <c r="A226" s="270"/>
      <c r="B226" s="245"/>
      <c r="C226" s="123" t="s">
        <v>259</v>
      </c>
      <c r="D226" s="248"/>
      <c r="E226" s="210"/>
      <c r="F226" s="251"/>
      <c r="G226" s="251"/>
      <c r="H226" s="251"/>
      <c r="I226" s="207"/>
      <c r="J226" s="368"/>
      <c r="K226" s="205"/>
      <c r="L226" s="197"/>
    </row>
    <row r="227" spans="1:12" ht="17.399999999999999" customHeight="1" x14ac:dyDescent="0.25">
      <c r="A227" s="270"/>
      <c r="B227" s="245"/>
      <c r="C227" s="123" t="s">
        <v>260</v>
      </c>
      <c r="D227" s="248"/>
      <c r="E227" s="210"/>
      <c r="F227" s="251"/>
      <c r="G227" s="251"/>
      <c r="H227" s="251"/>
      <c r="I227" s="207"/>
      <c r="J227" s="368"/>
      <c r="K227" s="205"/>
      <c r="L227" s="197"/>
    </row>
    <row r="228" spans="1:12" ht="17.399999999999999" customHeight="1" x14ac:dyDescent="0.25">
      <c r="A228" s="270"/>
      <c r="B228" s="245"/>
      <c r="C228" s="123" t="s">
        <v>261</v>
      </c>
      <c r="D228" s="248"/>
      <c r="E228" s="210"/>
      <c r="F228" s="251"/>
      <c r="G228" s="251"/>
      <c r="H228" s="251"/>
      <c r="I228" s="207"/>
      <c r="J228" s="368"/>
      <c r="K228" s="205"/>
      <c r="L228" s="197"/>
    </row>
    <row r="229" spans="1:12" ht="17.399999999999999" customHeight="1" x14ac:dyDescent="0.25">
      <c r="A229" s="270"/>
      <c r="B229" s="245"/>
      <c r="C229" s="123" t="s">
        <v>262</v>
      </c>
      <c r="D229" s="248"/>
      <c r="E229" s="210"/>
      <c r="F229" s="251"/>
      <c r="G229" s="251"/>
      <c r="H229" s="251"/>
      <c r="I229" s="207"/>
      <c r="J229" s="368"/>
      <c r="K229" s="205"/>
      <c r="L229" s="197"/>
    </row>
    <row r="230" spans="1:12" ht="17.399999999999999" customHeight="1" x14ac:dyDescent="0.25">
      <c r="A230" s="270"/>
      <c r="B230" s="245"/>
      <c r="C230" s="123" t="s">
        <v>263</v>
      </c>
      <c r="D230" s="248"/>
      <c r="E230" s="210"/>
      <c r="F230" s="251"/>
      <c r="G230" s="251"/>
      <c r="H230" s="251"/>
      <c r="I230" s="207"/>
      <c r="J230" s="368"/>
      <c r="K230" s="205"/>
      <c r="L230" s="197"/>
    </row>
    <row r="231" spans="1:12" ht="17.399999999999999" customHeight="1" x14ac:dyDescent="0.25">
      <c r="A231" s="270"/>
      <c r="B231" s="245"/>
      <c r="C231" s="123" t="s">
        <v>264</v>
      </c>
      <c r="D231" s="248"/>
      <c r="E231" s="210"/>
      <c r="F231" s="251"/>
      <c r="G231" s="251"/>
      <c r="H231" s="251"/>
      <c r="I231" s="207"/>
      <c r="J231" s="368"/>
      <c r="K231" s="205"/>
      <c r="L231" s="197"/>
    </row>
    <row r="232" spans="1:12" ht="17.399999999999999" customHeight="1" x14ac:dyDescent="0.25">
      <c r="A232" s="270"/>
      <c r="B232" s="245"/>
      <c r="C232" s="123" t="s">
        <v>265</v>
      </c>
      <c r="D232" s="248"/>
      <c r="E232" s="210"/>
      <c r="F232" s="251"/>
      <c r="G232" s="251"/>
      <c r="H232" s="251"/>
      <c r="I232" s="207"/>
      <c r="J232" s="368"/>
      <c r="K232" s="205"/>
      <c r="L232" s="197"/>
    </row>
    <row r="233" spans="1:12" ht="17.399999999999999" customHeight="1" x14ac:dyDescent="0.25">
      <c r="A233" s="270"/>
      <c r="B233" s="245"/>
      <c r="C233" s="123" t="s">
        <v>266</v>
      </c>
      <c r="D233" s="248"/>
      <c r="E233" s="210"/>
      <c r="F233" s="251"/>
      <c r="G233" s="251"/>
      <c r="H233" s="251"/>
      <c r="I233" s="207"/>
      <c r="J233" s="368"/>
      <c r="K233" s="205"/>
      <c r="L233" s="197"/>
    </row>
    <row r="234" spans="1:12" ht="27.6" x14ac:dyDescent="0.25">
      <c r="A234" s="270"/>
      <c r="B234" s="245"/>
      <c r="C234" s="123" t="s">
        <v>267</v>
      </c>
      <c r="D234" s="248"/>
      <c r="E234" s="210"/>
      <c r="F234" s="251"/>
      <c r="G234" s="251"/>
      <c r="H234" s="251"/>
      <c r="I234" s="207"/>
      <c r="J234" s="368"/>
      <c r="K234" s="205"/>
      <c r="L234" s="197"/>
    </row>
    <row r="235" spans="1:12" ht="17.399999999999999" customHeight="1" x14ac:dyDescent="0.25">
      <c r="A235" s="270"/>
      <c r="B235" s="245"/>
      <c r="C235" s="123" t="s">
        <v>268</v>
      </c>
      <c r="D235" s="248"/>
      <c r="E235" s="210"/>
      <c r="F235" s="251"/>
      <c r="G235" s="251"/>
      <c r="H235" s="251"/>
      <c r="I235" s="207"/>
      <c r="J235" s="368"/>
      <c r="K235" s="205"/>
      <c r="L235" s="197"/>
    </row>
    <row r="236" spans="1:12" ht="17.399999999999999" customHeight="1" x14ac:dyDescent="0.25">
      <c r="A236" s="270"/>
      <c r="B236" s="245"/>
      <c r="C236" s="123" t="s">
        <v>269</v>
      </c>
      <c r="D236" s="248"/>
      <c r="E236" s="210"/>
      <c r="F236" s="251"/>
      <c r="G236" s="251"/>
      <c r="H236" s="251"/>
      <c r="I236" s="207"/>
      <c r="J236" s="368"/>
      <c r="K236" s="205"/>
      <c r="L236" s="197"/>
    </row>
    <row r="237" spans="1:12" ht="17.399999999999999" customHeight="1" x14ac:dyDescent="0.25">
      <c r="A237" s="270"/>
      <c r="B237" s="245"/>
      <c r="C237" s="123" t="s">
        <v>270</v>
      </c>
      <c r="D237" s="248"/>
      <c r="E237" s="210"/>
      <c r="F237" s="251"/>
      <c r="G237" s="251"/>
      <c r="H237" s="251"/>
      <c r="I237" s="207"/>
      <c r="J237" s="368"/>
      <c r="K237" s="205"/>
      <c r="L237" s="197"/>
    </row>
    <row r="238" spans="1:12" ht="17.399999999999999" customHeight="1" x14ac:dyDescent="0.25">
      <c r="A238" s="270"/>
      <c r="B238" s="245"/>
      <c r="C238" s="123" t="s">
        <v>271</v>
      </c>
      <c r="D238" s="248"/>
      <c r="E238" s="210"/>
      <c r="F238" s="251"/>
      <c r="G238" s="251"/>
      <c r="H238" s="251"/>
      <c r="I238" s="207"/>
      <c r="J238" s="368"/>
      <c r="K238" s="205"/>
      <c r="L238" s="197"/>
    </row>
    <row r="239" spans="1:12" ht="17.399999999999999" customHeight="1" x14ac:dyDescent="0.25">
      <c r="A239" s="270"/>
      <c r="B239" s="245"/>
      <c r="C239" s="123" t="s">
        <v>272</v>
      </c>
      <c r="D239" s="248"/>
      <c r="E239" s="210"/>
      <c r="F239" s="251"/>
      <c r="G239" s="251"/>
      <c r="H239" s="251"/>
      <c r="I239" s="207"/>
      <c r="J239" s="368"/>
      <c r="K239" s="205"/>
      <c r="L239" s="197"/>
    </row>
    <row r="240" spans="1:12" ht="17.399999999999999" customHeight="1" x14ac:dyDescent="0.25">
      <c r="A240" s="270"/>
      <c r="B240" s="245"/>
      <c r="C240" s="123" t="s">
        <v>273</v>
      </c>
      <c r="D240" s="248"/>
      <c r="E240" s="210"/>
      <c r="F240" s="251"/>
      <c r="G240" s="251"/>
      <c r="H240" s="251"/>
      <c r="I240" s="207"/>
      <c r="J240" s="368"/>
      <c r="K240" s="205"/>
      <c r="L240" s="197"/>
    </row>
    <row r="241" spans="1:12" ht="17.399999999999999" customHeight="1" x14ac:dyDescent="0.25">
      <c r="A241" s="270"/>
      <c r="B241" s="245"/>
      <c r="C241" s="123" t="s">
        <v>274</v>
      </c>
      <c r="D241" s="248"/>
      <c r="E241" s="210"/>
      <c r="F241" s="251"/>
      <c r="G241" s="251"/>
      <c r="H241" s="251"/>
      <c r="I241" s="207"/>
      <c r="J241" s="368"/>
      <c r="K241" s="205"/>
      <c r="L241" s="197"/>
    </row>
    <row r="242" spans="1:12" ht="17.399999999999999" customHeight="1" x14ac:dyDescent="0.25">
      <c r="A242" s="270"/>
      <c r="B242" s="245"/>
      <c r="C242" s="123" t="s">
        <v>275</v>
      </c>
      <c r="D242" s="248"/>
      <c r="E242" s="210"/>
      <c r="F242" s="251"/>
      <c r="G242" s="251"/>
      <c r="H242" s="251"/>
      <c r="I242" s="207"/>
      <c r="J242" s="368"/>
      <c r="K242" s="205"/>
      <c r="L242" s="197"/>
    </row>
    <row r="243" spans="1:12" ht="17.399999999999999" customHeight="1" x14ac:dyDescent="0.25">
      <c r="A243" s="270"/>
      <c r="B243" s="245"/>
      <c r="C243" s="123" t="s">
        <v>276</v>
      </c>
      <c r="D243" s="248"/>
      <c r="E243" s="210"/>
      <c r="F243" s="251"/>
      <c r="G243" s="251"/>
      <c r="H243" s="251"/>
      <c r="I243" s="207"/>
      <c r="J243" s="368"/>
      <c r="K243" s="205"/>
      <c r="L243" s="197"/>
    </row>
    <row r="244" spans="1:12" ht="17.399999999999999" customHeight="1" x14ac:dyDescent="0.25">
      <c r="A244" s="270"/>
      <c r="B244" s="245"/>
      <c r="C244" s="123" t="s">
        <v>277</v>
      </c>
      <c r="D244" s="248"/>
      <c r="E244" s="210"/>
      <c r="F244" s="251"/>
      <c r="G244" s="251"/>
      <c r="H244" s="251"/>
      <c r="I244" s="207"/>
      <c r="J244" s="368"/>
      <c r="K244" s="205"/>
      <c r="L244" s="197"/>
    </row>
    <row r="245" spans="1:12" ht="17.399999999999999" customHeight="1" x14ac:dyDescent="0.25">
      <c r="A245" s="270"/>
      <c r="B245" s="245"/>
      <c r="C245" s="123" t="s">
        <v>278</v>
      </c>
      <c r="D245" s="248"/>
      <c r="E245" s="210"/>
      <c r="F245" s="251"/>
      <c r="G245" s="251"/>
      <c r="H245" s="251"/>
      <c r="I245" s="207"/>
      <c r="J245" s="368"/>
      <c r="K245" s="205"/>
      <c r="L245" s="197"/>
    </row>
    <row r="246" spans="1:12" ht="17.399999999999999" customHeight="1" x14ac:dyDescent="0.25">
      <c r="A246" s="270"/>
      <c r="B246" s="245"/>
      <c r="C246" s="123" t="s">
        <v>279</v>
      </c>
      <c r="D246" s="248"/>
      <c r="E246" s="210"/>
      <c r="F246" s="251"/>
      <c r="G246" s="251"/>
      <c r="H246" s="251"/>
      <c r="I246" s="207"/>
      <c r="J246" s="368"/>
      <c r="K246" s="205"/>
      <c r="L246" s="197"/>
    </row>
    <row r="247" spans="1:12" ht="17.399999999999999" customHeight="1" x14ac:dyDescent="0.25">
      <c r="A247" s="270"/>
      <c r="B247" s="245"/>
      <c r="C247" s="123" t="s">
        <v>280</v>
      </c>
      <c r="D247" s="248"/>
      <c r="E247" s="210"/>
      <c r="F247" s="251"/>
      <c r="G247" s="251"/>
      <c r="H247" s="251"/>
      <c r="I247" s="207"/>
      <c r="J247" s="368"/>
      <c r="K247" s="205"/>
      <c r="L247" s="197"/>
    </row>
    <row r="248" spans="1:12" ht="17.399999999999999" customHeight="1" x14ac:dyDescent="0.25">
      <c r="A248" s="270"/>
      <c r="B248" s="245"/>
      <c r="C248" s="123" t="s">
        <v>281</v>
      </c>
      <c r="D248" s="248"/>
      <c r="E248" s="210"/>
      <c r="F248" s="251"/>
      <c r="G248" s="251"/>
      <c r="H248" s="251"/>
      <c r="I248" s="207"/>
      <c r="J248" s="368"/>
      <c r="K248" s="205"/>
      <c r="L248" s="197"/>
    </row>
    <row r="249" spans="1:12" ht="17.399999999999999" customHeight="1" x14ac:dyDescent="0.25">
      <c r="A249" s="270"/>
      <c r="B249" s="245"/>
      <c r="C249" s="121" t="s">
        <v>282</v>
      </c>
      <c r="D249" s="248"/>
      <c r="E249" s="210"/>
      <c r="F249" s="251"/>
      <c r="G249" s="251"/>
      <c r="H249" s="251"/>
      <c r="I249" s="207"/>
      <c r="J249" s="368"/>
      <c r="K249" s="205"/>
      <c r="L249" s="197"/>
    </row>
    <row r="250" spans="1:12" ht="17.399999999999999" customHeight="1" x14ac:dyDescent="0.25">
      <c r="A250" s="270"/>
      <c r="B250" s="245"/>
      <c r="C250" s="121" t="s">
        <v>283</v>
      </c>
      <c r="D250" s="248"/>
      <c r="E250" s="210"/>
      <c r="F250" s="251"/>
      <c r="G250" s="251"/>
      <c r="H250" s="251"/>
      <c r="I250" s="207"/>
      <c r="J250" s="368"/>
      <c r="K250" s="205"/>
      <c r="L250" s="197"/>
    </row>
    <row r="251" spans="1:12" ht="17.399999999999999" customHeight="1" x14ac:dyDescent="0.25">
      <c r="A251" s="270"/>
      <c r="B251" s="245"/>
      <c r="C251" s="121" t="s">
        <v>284</v>
      </c>
      <c r="D251" s="248"/>
      <c r="E251" s="210"/>
      <c r="F251" s="251"/>
      <c r="G251" s="251"/>
      <c r="H251" s="251"/>
      <c r="I251" s="207"/>
      <c r="J251" s="368"/>
      <c r="K251" s="205"/>
      <c r="L251" s="197"/>
    </row>
    <row r="252" spans="1:12" ht="17.399999999999999" customHeight="1" x14ac:dyDescent="0.25">
      <c r="A252" s="270"/>
      <c r="B252" s="245"/>
      <c r="C252" s="121" t="s">
        <v>285</v>
      </c>
      <c r="D252" s="248"/>
      <c r="E252" s="210"/>
      <c r="F252" s="251"/>
      <c r="G252" s="251"/>
      <c r="H252" s="251"/>
      <c r="I252" s="207"/>
      <c r="J252" s="368"/>
      <c r="K252" s="205"/>
      <c r="L252" s="197"/>
    </row>
    <row r="253" spans="1:12" ht="17.399999999999999" customHeight="1" x14ac:dyDescent="0.25">
      <c r="A253" s="270"/>
      <c r="B253" s="245"/>
      <c r="C253" s="121" t="s">
        <v>286</v>
      </c>
      <c r="D253" s="248"/>
      <c r="E253" s="210"/>
      <c r="F253" s="251"/>
      <c r="G253" s="251"/>
      <c r="H253" s="251"/>
      <c r="I253" s="207"/>
      <c r="J253" s="368"/>
      <c r="K253" s="205"/>
      <c r="L253" s="197"/>
    </row>
    <row r="254" spans="1:12" ht="17.399999999999999" customHeight="1" x14ac:dyDescent="0.25">
      <c r="A254" s="270"/>
      <c r="B254" s="245"/>
      <c r="C254" s="121" t="s">
        <v>287</v>
      </c>
      <c r="D254" s="248"/>
      <c r="E254" s="210"/>
      <c r="F254" s="251"/>
      <c r="G254" s="251"/>
      <c r="H254" s="251"/>
      <c r="I254" s="207"/>
      <c r="J254" s="368"/>
      <c r="K254" s="205"/>
      <c r="L254" s="197"/>
    </row>
    <row r="255" spans="1:12" ht="17.399999999999999" customHeight="1" x14ac:dyDescent="0.25">
      <c r="A255" s="270"/>
      <c r="B255" s="245"/>
      <c r="C255" s="121" t="s">
        <v>288</v>
      </c>
      <c r="D255" s="248"/>
      <c r="E255" s="210"/>
      <c r="F255" s="251"/>
      <c r="G255" s="251"/>
      <c r="H255" s="251"/>
      <c r="I255" s="207"/>
      <c r="J255" s="368"/>
      <c r="K255" s="205"/>
      <c r="L255" s="197"/>
    </row>
    <row r="256" spans="1:12" ht="17.399999999999999" customHeight="1" thickBot="1" x14ac:dyDescent="0.3">
      <c r="A256" s="270"/>
      <c r="B256" s="245"/>
      <c r="C256" s="121" t="s">
        <v>289</v>
      </c>
      <c r="D256" s="248"/>
      <c r="E256" s="210"/>
      <c r="F256" s="251"/>
      <c r="G256" s="251"/>
      <c r="H256" s="251"/>
      <c r="I256" s="207"/>
      <c r="J256" s="368"/>
      <c r="K256" s="205"/>
      <c r="L256" s="197"/>
    </row>
    <row r="257" spans="1:12" ht="27.6" x14ac:dyDescent="0.25">
      <c r="A257" s="270"/>
      <c r="B257" s="244" t="s">
        <v>309</v>
      </c>
      <c r="C257" s="76" t="s">
        <v>291</v>
      </c>
      <c r="D257" s="335" t="s">
        <v>308</v>
      </c>
      <c r="E257" s="210"/>
      <c r="F257" s="251"/>
      <c r="G257" s="251"/>
      <c r="H257" s="251"/>
      <c r="I257" s="207"/>
      <c r="J257" s="368"/>
      <c r="K257" s="205"/>
      <c r="L257" s="197"/>
    </row>
    <row r="258" spans="1:12" ht="17.399999999999999" customHeight="1" x14ac:dyDescent="0.25">
      <c r="A258" s="270"/>
      <c r="B258" s="245"/>
      <c r="C258" s="126" t="s">
        <v>292</v>
      </c>
      <c r="D258" s="248"/>
      <c r="E258" s="210"/>
      <c r="F258" s="251"/>
      <c r="G258" s="251"/>
      <c r="H258" s="251"/>
      <c r="I258" s="207"/>
      <c r="J258" s="368"/>
      <c r="K258" s="205"/>
      <c r="L258" s="197"/>
    </row>
    <row r="259" spans="1:12" ht="17.399999999999999" customHeight="1" x14ac:dyDescent="0.25">
      <c r="A259" s="270"/>
      <c r="B259" s="245"/>
      <c r="C259" s="126" t="s">
        <v>293</v>
      </c>
      <c r="D259" s="248"/>
      <c r="E259" s="210"/>
      <c r="F259" s="251"/>
      <c r="G259" s="251"/>
      <c r="H259" s="251"/>
      <c r="I259" s="207"/>
      <c r="J259" s="368"/>
      <c r="K259" s="205"/>
      <c r="L259" s="197"/>
    </row>
    <row r="260" spans="1:12" ht="17.399999999999999" customHeight="1" x14ac:dyDescent="0.25">
      <c r="A260" s="270"/>
      <c r="B260" s="245"/>
      <c r="C260" s="154" t="s">
        <v>294</v>
      </c>
      <c r="D260" s="248"/>
      <c r="E260" s="210"/>
      <c r="F260" s="251"/>
      <c r="G260" s="251"/>
      <c r="H260" s="251"/>
      <c r="I260" s="207"/>
      <c r="J260" s="368"/>
      <c r="K260" s="205"/>
      <c r="L260" s="197"/>
    </row>
    <row r="261" spans="1:12" ht="17.399999999999999" customHeight="1" x14ac:dyDescent="0.25">
      <c r="A261" s="270"/>
      <c r="B261" s="245"/>
      <c r="C261" s="154" t="s">
        <v>295</v>
      </c>
      <c r="D261" s="248"/>
      <c r="E261" s="210"/>
      <c r="F261" s="251"/>
      <c r="G261" s="251"/>
      <c r="H261" s="251"/>
      <c r="I261" s="207"/>
      <c r="J261" s="368"/>
      <c r="K261" s="205"/>
      <c r="L261" s="197"/>
    </row>
    <row r="262" spans="1:12" ht="17.399999999999999" customHeight="1" x14ac:dyDescent="0.25">
      <c r="A262" s="270"/>
      <c r="B262" s="245"/>
      <c r="C262" s="154" t="s">
        <v>296</v>
      </c>
      <c r="D262" s="248"/>
      <c r="E262" s="210"/>
      <c r="F262" s="251"/>
      <c r="G262" s="251"/>
      <c r="H262" s="251"/>
      <c r="I262" s="207"/>
      <c r="J262" s="368"/>
      <c r="K262" s="205"/>
      <c r="L262" s="197"/>
    </row>
    <row r="263" spans="1:12" ht="17.399999999999999" customHeight="1" x14ac:dyDescent="0.25">
      <c r="A263" s="270"/>
      <c r="B263" s="245"/>
      <c r="C263" s="154" t="s">
        <v>297</v>
      </c>
      <c r="D263" s="248"/>
      <c r="E263" s="210"/>
      <c r="F263" s="251"/>
      <c r="G263" s="251"/>
      <c r="H263" s="251"/>
      <c r="I263" s="207"/>
      <c r="J263" s="368"/>
      <c r="K263" s="205"/>
      <c r="L263" s="197"/>
    </row>
    <row r="264" spans="1:12" ht="17.399999999999999" customHeight="1" x14ac:dyDescent="0.25">
      <c r="A264" s="270"/>
      <c r="B264" s="245"/>
      <c r="C264" s="154" t="s">
        <v>298</v>
      </c>
      <c r="D264" s="248"/>
      <c r="E264" s="210"/>
      <c r="F264" s="251"/>
      <c r="G264" s="251"/>
      <c r="H264" s="251"/>
      <c r="I264" s="207"/>
      <c r="J264" s="368"/>
      <c r="K264" s="205"/>
      <c r="L264" s="197"/>
    </row>
    <row r="265" spans="1:12" ht="17.399999999999999" customHeight="1" x14ac:dyDescent="0.25">
      <c r="A265" s="270"/>
      <c r="B265" s="245"/>
      <c r="C265" s="154" t="s">
        <v>299</v>
      </c>
      <c r="D265" s="248"/>
      <c r="E265" s="210"/>
      <c r="F265" s="251"/>
      <c r="G265" s="251"/>
      <c r="H265" s="251"/>
      <c r="I265" s="207"/>
      <c r="J265" s="368"/>
      <c r="K265" s="205"/>
      <c r="L265" s="197"/>
    </row>
    <row r="266" spans="1:12" ht="17.399999999999999" customHeight="1" x14ac:dyDescent="0.25">
      <c r="A266" s="270"/>
      <c r="B266" s="245"/>
      <c r="C266" s="123" t="s">
        <v>300</v>
      </c>
      <c r="D266" s="248"/>
      <c r="E266" s="210"/>
      <c r="F266" s="251"/>
      <c r="G266" s="251"/>
      <c r="H266" s="251"/>
      <c r="I266" s="207"/>
      <c r="J266" s="368"/>
      <c r="K266" s="205"/>
      <c r="L266" s="197"/>
    </row>
    <row r="267" spans="1:12" ht="17.399999999999999" customHeight="1" x14ac:dyDescent="0.25">
      <c r="A267" s="270"/>
      <c r="B267" s="245"/>
      <c r="C267" s="154" t="s">
        <v>301</v>
      </c>
      <c r="D267" s="248"/>
      <c r="E267" s="210"/>
      <c r="F267" s="251"/>
      <c r="G267" s="251"/>
      <c r="H267" s="251"/>
      <c r="I267" s="207"/>
      <c r="J267" s="368"/>
      <c r="K267" s="205"/>
      <c r="L267" s="197"/>
    </row>
    <row r="268" spans="1:12" ht="17.399999999999999" customHeight="1" x14ac:dyDescent="0.25">
      <c r="A268" s="270"/>
      <c r="B268" s="245"/>
      <c r="C268" s="123" t="s">
        <v>302</v>
      </c>
      <c r="D268" s="248"/>
      <c r="E268" s="210"/>
      <c r="F268" s="251"/>
      <c r="G268" s="251"/>
      <c r="H268" s="251"/>
      <c r="I268" s="207"/>
      <c r="J268" s="368"/>
      <c r="K268" s="205"/>
      <c r="L268" s="197"/>
    </row>
    <row r="269" spans="1:12" ht="17.399999999999999" customHeight="1" x14ac:dyDescent="0.25">
      <c r="A269" s="270"/>
      <c r="B269" s="245"/>
      <c r="C269" s="123" t="s">
        <v>303</v>
      </c>
      <c r="D269" s="248"/>
      <c r="E269" s="210"/>
      <c r="F269" s="251"/>
      <c r="G269" s="251"/>
      <c r="H269" s="251"/>
      <c r="I269" s="207"/>
      <c r="J269" s="368"/>
      <c r="K269" s="205"/>
      <c r="L269" s="197"/>
    </row>
    <row r="270" spans="1:12" ht="17.399999999999999" customHeight="1" x14ac:dyDescent="0.25">
      <c r="A270" s="270"/>
      <c r="B270" s="245"/>
      <c r="C270" s="123" t="s">
        <v>304</v>
      </c>
      <c r="D270" s="248"/>
      <c r="E270" s="210"/>
      <c r="F270" s="251"/>
      <c r="G270" s="251"/>
      <c r="H270" s="251"/>
      <c r="I270" s="207"/>
      <c r="J270" s="368"/>
      <c r="K270" s="205"/>
      <c r="L270" s="197"/>
    </row>
    <row r="271" spans="1:12" ht="17.399999999999999" customHeight="1" x14ac:dyDescent="0.25">
      <c r="A271" s="270"/>
      <c r="B271" s="245"/>
      <c r="C271" s="123" t="s">
        <v>305</v>
      </c>
      <c r="D271" s="248"/>
      <c r="E271" s="210"/>
      <c r="F271" s="251"/>
      <c r="G271" s="251"/>
      <c r="H271" s="251"/>
      <c r="I271" s="207"/>
      <c r="J271" s="368"/>
      <c r="K271" s="205"/>
      <c r="L271" s="197"/>
    </row>
    <row r="272" spans="1:12" ht="17.399999999999999" customHeight="1" x14ac:dyDescent="0.25">
      <c r="A272" s="270"/>
      <c r="B272" s="245"/>
      <c r="C272" s="123" t="s">
        <v>306</v>
      </c>
      <c r="D272" s="248"/>
      <c r="E272" s="210"/>
      <c r="F272" s="251"/>
      <c r="G272" s="251"/>
      <c r="H272" s="251"/>
      <c r="I272" s="207"/>
      <c r="J272" s="368"/>
      <c r="K272" s="205"/>
      <c r="L272" s="197"/>
    </row>
    <row r="273" spans="1:12" ht="46.2" customHeight="1" thickBot="1" x14ac:dyDescent="0.3">
      <c r="A273" s="271"/>
      <c r="B273" s="246"/>
      <c r="C273" s="77" t="s">
        <v>307</v>
      </c>
      <c r="D273" s="249"/>
      <c r="E273" s="211"/>
      <c r="F273" s="252"/>
      <c r="G273" s="252"/>
      <c r="H273" s="252"/>
      <c r="I273" s="208"/>
      <c r="J273" s="371"/>
      <c r="K273" s="206"/>
      <c r="L273" s="198"/>
    </row>
    <row r="274" spans="1:12" ht="17.399999999999999" customHeight="1" x14ac:dyDescent="0.25">
      <c r="A274" s="269" t="s">
        <v>310</v>
      </c>
      <c r="B274" s="244" t="s">
        <v>311</v>
      </c>
      <c r="C274" s="79" t="s">
        <v>312</v>
      </c>
      <c r="D274" s="247" t="s">
        <v>321</v>
      </c>
      <c r="E274" s="109"/>
      <c r="F274" s="110"/>
      <c r="G274" s="253">
        <v>1</v>
      </c>
      <c r="H274" s="253" t="s">
        <v>595</v>
      </c>
      <c r="I274" s="111"/>
      <c r="J274" s="367">
        <v>850</v>
      </c>
      <c r="K274" s="345">
        <f>J274*G274*L11</f>
        <v>45281.71</v>
      </c>
      <c r="L274" s="216">
        <f>K274*$G274</f>
        <v>45281.71</v>
      </c>
    </row>
    <row r="275" spans="1:12" ht="17.399999999999999" customHeight="1" x14ac:dyDescent="0.25">
      <c r="A275" s="270"/>
      <c r="B275" s="245"/>
      <c r="C275" s="121" t="s">
        <v>313</v>
      </c>
      <c r="D275" s="248"/>
      <c r="E275" s="49"/>
      <c r="F275" s="14"/>
      <c r="G275" s="251"/>
      <c r="H275" s="251"/>
      <c r="I275" s="15"/>
      <c r="J275" s="368"/>
      <c r="K275" s="205"/>
      <c r="L275" s="197"/>
    </row>
    <row r="276" spans="1:12" ht="17.399999999999999" customHeight="1" x14ac:dyDescent="0.25">
      <c r="A276" s="270"/>
      <c r="B276" s="245"/>
      <c r="C276" s="121" t="s">
        <v>314</v>
      </c>
      <c r="D276" s="248"/>
      <c r="E276" s="49"/>
      <c r="F276" s="14"/>
      <c r="G276" s="251"/>
      <c r="H276" s="251"/>
      <c r="I276" s="15"/>
      <c r="J276" s="368"/>
      <c r="K276" s="205"/>
      <c r="L276" s="197"/>
    </row>
    <row r="277" spans="1:12" ht="17.399999999999999" customHeight="1" x14ac:dyDescent="0.25">
      <c r="A277" s="270"/>
      <c r="B277" s="245"/>
      <c r="C277" s="121" t="s">
        <v>315</v>
      </c>
      <c r="D277" s="248"/>
      <c r="E277" s="49"/>
      <c r="F277" s="14"/>
      <c r="G277" s="251"/>
      <c r="H277" s="251"/>
      <c r="I277" s="15"/>
      <c r="J277" s="368"/>
      <c r="K277" s="205"/>
      <c r="L277" s="197"/>
    </row>
    <row r="278" spans="1:12" ht="17.399999999999999" customHeight="1" x14ac:dyDescent="0.25">
      <c r="A278" s="270"/>
      <c r="B278" s="245"/>
      <c r="C278" s="121" t="s">
        <v>316</v>
      </c>
      <c r="D278" s="248"/>
      <c r="E278" s="49"/>
      <c r="F278" s="14"/>
      <c r="G278" s="251"/>
      <c r="H278" s="251"/>
      <c r="I278" s="15"/>
      <c r="J278" s="368"/>
      <c r="K278" s="205"/>
      <c r="L278" s="197"/>
    </row>
    <row r="279" spans="1:12" ht="17.399999999999999" customHeight="1" x14ac:dyDescent="0.25">
      <c r="A279" s="270"/>
      <c r="B279" s="245"/>
      <c r="C279" s="121" t="s">
        <v>317</v>
      </c>
      <c r="D279" s="248"/>
      <c r="E279" s="49"/>
      <c r="F279" s="14"/>
      <c r="G279" s="251"/>
      <c r="H279" s="251"/>
      <c r="I279" s="15"/>
      <c r="J279" s="368"/>
      <c r="K279" s="205"/>
      <c r="L279" s="197"/>
    </row>
    <row r="280" spans="1:12" ht="17.399999999999999" customHeight="1" x14ac:dyDescent="0.25">
      <c r="A280" s="270"/>
      <c r="B280" s="245"/>
      <c r="C280" s="121" t="s">
        <v>318</v>
      </c>
      <c r="D280" s="248"/>
      <c r="E280" s="49"/>
      <c r="F280" s="14"/>
      <c r="G280" s="251"/>
      <c r="H280" s="251"/>
      <c r="I280" s="15"/>
      <c r="J280" s="368"/>
      <c r="K280" s="205"/>
      <c r="L280" s="197"/>
    </row>
    <row r="281" spans="1:12" ht="17.399999999999999" customHeight="1" x14ac:dyDescent="0.25">
      <c r="A281" s="270"/>
      <c r="B281" s="245"/>
      <c r="C281" s="121" t="s">
        <v>319</v>
      </c>
      <c r="D281" s="248"/>
      <c r="E281" s="49"/>
      <c r="F281" s="14"/>
      <c r="G281" s="251"/>
      <c r="H281" s="251"/>
      <c r="I281" s="15"/>
      <c r="J281" s="368"/>
      <c r="K281" s="205"/>
      <c r="L281" s="197"/>
    </row>
    <row r="282" spans="1:12" ht="17.399999999999999" customHeight="1" thickBot="1" x14ac:dyDescent="0.3">
      <c r="A282" s="270"/>
      <c r="B282" s="246"/>
      <c r="C282" s="78" t="s">
        <v>320</v>
      </c>
      <c r="D282" s="249"/>
      <c r="E282" s="49"/>
      <c r="F282" s="14"/>
      <c r="G282" s="272"/>
      <c r="H282" s="272"/>
      <c r="I282" s="15"/>
      <c r="J282" s="369"/>
      <c r="K282" s="314"/>
      <c r="L282" s="352"/>
    </row>
    <row r="283" spans="1:12" ht="17.399999999999999" customHeight="1" x14ac:dyDescent="0.25">
      <c r="A283" s="270"/>
      <c r="B283" s="244" t="s">
        <v>322</v>
      </c>
      <c r="C283" s="79" t="s">
        <v>323</v>
      </c>
      <c r="D283" s="247" t="s">
        <v>329</v>
      </c>
      <c r="E283" s="49"/>
      <c r="F283" s="14"/>
      <c r="G283" s="250">
        <v>1</v>
      </c>
      <c r="H283" s="250" t="s">
        <v>595</v>
      </c>
      <c r="I283" s="15"/>
      <c r="J283" s="370">
        <v>680</v>
      </c>
      <c r="K283" s="370">
        <f>J283*G283*L11</f>
        <v>36225.367999999995</v>
      </c>
      <c r="L283" s="196">
        <f>K283*G283</f>
        <v>36225.367999999995</v>
      </c>
    </row>
    <row r="284" spans="1:12" ht="17.399999999999999" customHeight="1" x14ac:dyDescent="0.25">
      <c r="A284" s="270"/>
      <c r="B284" s="245"/>
      <c r="C284" s="121" t="s">
        <v>324</v>
      </c>
      <c r="D284" s="248"/>
      <c r="E284" s="49"/>
      <c r="F284" s="14"/>
      <c r="G284" s="251"/>
      <c r="H284" s="251"/>
      <c r="I284" s="15"/>
      <c r="J284" s="368"/>
      <c r="K284" s="368"/>
      <c r="L284" s="197"/>
    </row>
    <row r="285" spans="1:12" ht="17.399999999999999" customHeight="1" x14ac:dyDescent="0.25">
      <c r="A285" s="270"/>
      <c r="B285" s="245"/>
      <c r="C285" s="121" t="s">
        <v>325</v>
      </c>
      <c r="D285" s="248"/>
      <c r="E285" s="49"/>
      <c r="F285" s="14"/>
      <c r="G285" s="251"/>
      <c r="H285" s="251"/>
      <c r="I285" s="15"/>
      <c r="J285" s="368"/>
      <c r="K285" s="368"/>
      <c r="L285" s="197"/>
    </row>
    <row r="286" spans="1:12" ht="17.399999999999999" customHeight="1" x14ac:dyDescent="0.25">
      <c r="A286" s="270"/>
      <c r="B286" s="245"/>
      <c r="C286" s="121" t="s">
        <v>326</v>
      </c>
      <c r="D286" s="248"/>
      <c r="E286" s="49"/>
      <c r="F286" s="14"/>
      <c r="G286" s="251"/>
      <c r="H286" s="251"/>
      <c r="I286" s="15"/>
      <c r="J286" s="368"/>
      <c r="K286" s="368"/>
      <c r="L286" s="197"/>
    </row>
    <row r="287" spans="1:12" ht="17.399999999999999" customHeight="1" x14ac:dyDescent="0.25">
      <c r="A287" s="270"/>
      <c r="B287" s="245"/>
      <c r="C287" s="121" t="s">
        <v>327</v>
      </c>
      <c r="D287" s="248"/>
      <c r="E287" s="49"/>
      <c r="F287" s="14"/>
      <c r="G287" s="251"/>
      <c r="H287" s="251"/>
      <c r="I287" s="15"/>
      <c r="J287" s="368"/>
      <c r="K287" s="368"/>
      <c r="L287" s="197"/>
    </row>
    <row r="288" spans="1:12" ht="17.399999999999999" customHeight="1" thickBot="1" x14ac:dyDescent="0.3">
      <c r="A288" s="271"/>
      <c r="B288" s="246"/>
      <c r="C288" s="78" t="s">
        <v>328</v>
      </c>
      <c r="D288" s="249"/>
      <c r="E288" s="115"/>
      <c r="F288" s="116"/>
      <c r="G288" s="252"/>
      <c r="H288" s="252"/>
      <c r="I288" s="117"/>
      <c r="J288" s="371"/>
      <c r="K288" s="371"/>
      <c r="L288" s="198"/>
    </row>
    <row r="289" spans="1:12" ht="17.399999999999999" customHeight="1" x14ac:dyDescent="0.3">
      <c r="A289" s="257" t="s">
        <v>330</v>
      </c>
      <c r="B289" s="254" t="s">
        <v>330</v>
      </c>
      <c r="C289" s="80" t="s">
        <v>334</v>
      </c>
      <c r="D289" s="247" t="s">
        <v>354</v>
      </c>
      <c r="E289" s="209" t="s">
        <v>604</v>
      </c>
      <c r="F289" s="110"/>
      <c r="G289" s="253">
        <v>2</v>
      </c>
      <c r="H289" s="253" t="s">
        <v>595</v>
      </c>
      <c r="I289" s="111"/>
      <c r="J289" s="353">
        <v>48000</v>
      </c>
      <c r="K289" s="353">
        <f>J289*G289</f>
        <v>96000</v>
      </c>
      <c r="L289" s="356">
        <f>K289</f>
        <v>96000</v>
      </c>
    </row>
    <row r="290" spans="1:12" ht="29.4" customHeight="1" x14ac:dyDescent="0.25">
      <c r="A290" s="258"/>
      <c r="B290" s="255"/>
      <c r="C290" s="127" t="s">
        <v>335</v>
      </c>
      <c r="D290" s="248"/>
      <c r="E290" s="210"/>
      <c r="F290" s="14"/>
      <c r="G290" s="251"/>
      <c r="H290" s="251"/>
      <c r="I290" s="15"/>
      <c r="J290" s="354"/>
      <c r="K290" s="354"/>
      <c r="L290" s="357"/>
    </row>
    <row r="291" spans="1:12" ht="17.399999999999999" customHeight="1" x14ac:dyDescent="0.3">
      <c r="A291" s="258"/>
      <c r="B291" s="255"/>
      <c r="C291" s="127" t="s">
        <v>333</v>
      </c>
      <c r="D291" s="248"/>
      <c r="E291" s="210"/>
      <c r="F291" s="14"/>
      <c r="G291" s="251"/>
      <c r="H291" s="251"/>
      <c r="I291" s="15"/>
      <c r="J291" s="354"/>
      <c r="K291" s="354"/>
      <c r="L291" s="357"/>
    </row>
    <row r="292" spans="1:12" ht="31.2" customHeight="1" x14ac:dyDescent="0.25">
      <c r="A292" s="258"/>
      <c r="B292" s="255"/>
      <c r="C292" s="127" t="s">
        <v>336</v>
      </c>
      <c r="D292" s="248"/>
      <c r="E292" s="210"/>
      <c r="F292" s="14"/>
      <c r="G292" s="251"/>
      <c r="H292" s="251"/>
      <c r="I292" s="15"/>
      <c r="J292" s="354"/>
      <c r="K292" s="354"/>
      <c r="L292" s="357"/>
    </row>
    <row r="293" spans="1:12" ht="34.200000000000003" customHeight="1" x14ac:dyDescent="0.25">
      <c r="A293" s="258"/>
      <c r="B293" s="255"/>
      <c r="C293" s="127" t="s">
        <v>337</v>
      </c>
      <c r="D293" s="248"/>
      <c r="E293" s="210"/>
      <c r="F293" s="14"/>
      <c r="G293" s="251"/>
      <c r="H293" s="251"/>
      <c r="I293" s="15"/>
      <c r="J293" s="354"/>
      <c r="K293" s="354"/>
      <c r="L293" s="357"/>
    </row>
    <row r="294" spans="1:12" ht="17.399999999999999" customHeight="1" x14ac:dyDescent="0.3">
      <c r="A294" s="258"/>
      <c r="B294" s="255"/>
      <c r="C294" s="127" t="s">
        <v>338</v>
      </c>
      <c r="D294" s="248"/>
      <c r="E294" s="210"/>
      <c r="F294" s="14"/>
      <c r="G294" s="251"/>
      <c r="H294" s="251"/>
      <c r="I294" s="15"/>
      <c r="J294" s="354"/>
      <c r="K294" s="354"/>
      <c r="L294" s="357"/>
    </row>
    <row r="295" spans="1:12" ht="17.399999999999999" customHeight="1" x14ac:dyDescent="0.3">
      <c r="A295" s="258"/>
      <c r="B295" s="255"/>
      <c r="C295" s="127" t="s">
        <v>339</v>
      </c>
      <c r="D295" s="248"/>
      <c r="E295" s="210"/>
      <c r="F295" s="14"/>
      <c r="G295" s="251"/>
      <c r="H295" s="251"/>
      <c r="I295" s="15"/>
      <c r="J295" s="354"/>
      <c r="K295" s="354"/>
      <c r="L295" s="357"/>
    </row>
    <row r="296" spans="1:12" ht="31.2" customHeight="1" x14ac:dyDescent="0.25">
      <c r="A296" s="258"/>
      <c r="B296" s="255"/>
      <c r="C296" s="127" t="s">
        <v>340</v>
      </c>
      <c r="D296" s="248"/>
      <c r="E296" s="210"/>
      <c r="F296" s="14"/>
      <c r="G296" s="251"/>
      <c r="H296" s="251"/>
      <c r="I296" s="15"/>
      <c r="J296" s="354"/>
      <c r="K296" s="354"/>
      <c r="L296" s="357"/>
    </row>
    <row r="297" spans="1:12" ht="31.2" customHeight="1" x14ac:dyDescent="0.25">
      <c r="A297" s="258"/>
      <c r="B297" s="255"/>
      <c r="C297" s="127" t="s">
        <v>341</v>
      </c>
      <c r="D297" s="248"/>
      <c r="E297" s="210"/>
      <c r="F297" s="14"/>
      <c r="G297" s="251"/>
      <c r="H297" s="251"/>
      <c r="I297" s="15"/>
      <c r="J297" s="354"/>
      <c r="K297" s="354"/>
      <c r="L297" s="357"/>
    </row>
    <row r="298" spans="1:12" ht="17.399999999999999" customHeight="1" x14ac:dyDescent="0.3">
      <c r="A298" s="258"/>
      <c r="B298" s="255"/>
      <c r="C298" s="127" t="s">
        <v>342</v>
      </c>
      <c r="D298" s="248"/>
      <c r="E298" s="210"/>
      <c r="F298" s="14"/>
      <c r="G298" s="251"/>
      <c r="H298" s="251"/>
      <c r="I298" s="15"/>
      <c r="J298" s="354"/>
      <c r="K298" s="354"/>
      <c r="L298" s="357"/>
    </row>
    <row r="299" spans="1:12" ht="31.2" customHeight="1" x14ac:dyDescent="0.25">
      <c r="A299" s="258"/>
      <c r="B299" s="255"/>
      <c r="C299" s="127" t="s">
        <v>343</v>
      </c>
      <c r="D299" s="248"/>
      <c r="E299" s="210"/>
      <c r="F299" s="14"/>
      <c r="G299" s="251"/>
      <c r="H299" s="251"/>
      <c r="I299" s="15"/>
      <c r="J299" s="354"/>
      <c r="K299" s="354"/>
      <c r="L299" s="357"/>
    </row>
    <row r="300" spans="1:12" ht="17.399999999999999" customHeight="1" x14ac:dyDescent="0.3">
      <c r="A300" s="258"/>
      <c r="B300" s="255"/>
      <c r="C300" s="127" t="s">
        <v>344</v>
      </c>
      <c r="D300" s="248"/>
      <c r="E300" s="210"/>
      <c r="F300" s="14"/>
      <c r="G300" s="251"/>
      <c r="H300" s="251"/>
      <c r="I300" s="15"/>
      <c r="J300" s="354"/>
      <c r="K300" s="354"/>
      <c r="L300" s="357"/>
    </row>
    <row r="301" spans="1:12" ht="17.399999999999999" customHeight="1" x14ac:dyDescent="0.3">
      <c r="A301" s="258"/>
      <c r="B301" s="255"/>
      <c r="C301" s="127" t="s">
        <v>345</v>
      </c>
      <c r="D301" s="248"/>
      <c r="E301" s="210"/>
      <c r="F301" s="14"/>
      <c r="G301" s="251"/>
      <c r="H301" s="251"/>
      <c r="I301" s="15"/>
      <c r="J301" s="354"/>
      <c r="K301" s="354"/>
      <c r="L301" s="357"/>
    </row>
    <row r="302" spans="1:12" ht="17.399999999999999" customHeight="1" x14ac:dyDescent="0.3">
      <c r="A302" s="258"/>
      <c r="B302" s="255"/>
      <c r="C302" s="127" t="s">
        <v>346</v>
      </c>
      <c r="D302" s="248"/>
      <c r="E302" s="210"/>
      <c r="F302" s="14"/>
      <c r="G302" s="251"/>
      <c r="H302" s="251"/>
      <c r="I302" s="15"/>
      <c r="J302" s="354"/>
      <c r="K302" s="354"/>
      <c r="L302" s="357"/>
    </row>
    <row r="303" spans="1:12" ht="31.2" customHeight="1" x14ac:dyDescent="0.25">
      <c r="A303" s="258"/>
      <c r="B303" s="255"/>
      <c r="C303" s="127" t="s">
        <v>347</v>
      </c>
      <c r="D303" s="248"/>
      <c r="E303" s="210"/>
      <c r="F303" s="14"/>
      <c r="G303" s="251"/>
      <c r="H303" s="251"/>
      <c r="I303" s="15"/>
      <c r="J303" s="354"/>
      <c r="K303" s="354"/>
      <c r="L303" s="357"/>
    </row>
    <row r="304" spans="1:12" ht="31.2" customHeight="1" x14ac:dyDescent="0.25">
      <c r="A304" s="258"/>
      <c r="B304" s="255"/>
      <c r="C304" s="127" t="s">
        <v>348</v>
      </c>
      <c r="D304" s="248"/>
      <c r="E304" s="210"/>
      <c r="F304" s="14"/>
      <c r="G304" s="251"/>
      <c r="H304" s="251"/>
      <c r="I304" s="15"/>
      <c r="J304" s="354"/>
      <c r="K304" s="354"/>
      <c r="L304" s="357"/>
    </row>
    <row r="305" spans="1:12" ht="17.399999999999999" customHeight="1" x14ac:dyDescent="0.3">
      <c r="A305" s="258"/>
      <c r="B305" s="255"/>
      <c r="C305" s="127" t="s">
        <v>349</v>
      </c>
      <c r="D305" s="248"/>
      <c r="E305" s="210"/>
      <c r="F305" s="14"/>
      <c r="G305" s="251"/>
      <c r="H305" s="251"/>
      <c r="I305" s="15"/>
      <c r="J305" s="354"/>
      <c r="K305" s="354"/>
      <c r="L305" s="357"/>
    </row>
    <row r="306" spans="1:12" ht="17.399999999999999" customHeight="1" x14ac:dyDescent="0.3">
      <c r="A306" s="258"/>
      <c r="B306" s="255"/>
      <c r="C306" s="127" t="s">
        <v>350</v>
      </c>
      <c r="D306" s="248"/>
      <c r="E306" s="210"/>
      <c r="F306" s="14"/>
      <c r="G306" s="251"/>
      <c r="H306" s="251"/>
      <c r="I306" s="15"/>
      <c r="J306" s="354"/>
      <c r="K306" s="354"/>
      <c r="L306" s="357"/>
    </row>
    <row r="307" spans="1:12" ht="17.399999999999999" customHeight="1" x14ac:dyDescent="0.3">
      <c r="A307" s="258"/>
      <c r="B307" s="255"/>
      <c r="C307" s="127" t="s">
        <v>351</v>
      </c>
      <c r="D307" s="248"/>
      <c r="E307" s="210"/>
      <c r="F307" s="14"/>
      <c r="G307" s="251"/>
      <c r="H307" s="251"/>
      <c r="I307" s="15"/>
      <c r="J307" s="354"/>
      <c r="K307" s="354"/>
      <c r="L307" s="357"/>
    </row>
    <row r="308" spans="1:12" ht="17.399999999999999" customHeight="1" x14ac:dyDescent="0.3">
      <c r="A308" s="258"/>
      <c r="B308" s="255"/>
      <c r="C308" s="127" t="s">
        <v>352</v>
      </c>
      <c r="D308" s="248"/>
      <c r="E308" s="210"/>
      <c r="F308" s="14"/>
      <c r="G308" s="251"/>
      <c r="H308" s="251"/>
      <c r="I308" s="15"/>
      <c r="J308" s="354"/>
      <c r="K308" s="354"/>
      <c r="L308" s="357"/>
    </row>
    <row r="309" spans="1:12" ht="17.399999999999999" customHeight="1" thickBot="1" x14ac:dyDescent="0.35">
      <c r="A309" s="259"/>
      <c r="B309" s="256"/>
      <c r="C309" s="82" t="s">
        <v>353</v>
      </c>
      <c r="D309" s="249"/>
      <c r="E309" s="211"/>
      <c r="F309" s="116"/>
      <c r="G309" s="252"/>
      <c r="H309" s="252"/>
      <c r="I309" s="117"/>
      <c r="J309" s="355"/>
      <c r="K309" s="355"/>
      <c r="L309" s="358"/>
    </row>
    <row r="310" spans="1:12" ht="34.950000000000003" customHeight="1" x14ac:dyDescent="0.25">
      <c r="A310" s="257" t="s">
        <v>355</v>
      </c>
      <c r="B310" s="254" t="s">
        <v>356</v>
      </c>
      <c r="C310" s="83" t="s">
        <v>357</v>
      </c>
      <c r="D310" s="247" t="s">
        <v>377</v>
      </c>
      <c r="E310" s="109"/>
      <c r="F310" s="110"/>
      <c r="G310" s="253">
        <v>2</v>
      </c>
      <c r="H310" s="253" t="s">
        <v>595</v>
      </c>
      <c r="I310" s="111"/>
      <c r="J310" s="342">
        <v>35000</v>
      </c>
      <c r="K310" s="342">
        <f>J310*G310</f>
        <v>70000</v>
      </c>
      <c r="L310" s="216">
        <f>K310</f>
        <v>70000</v>
      </c>
    </row>
    <row r="311" spans="1:12" ht="17.399999999999999" customHeight="1" x14ac:dyDescent="0.25">
      <c r="A311" s="258"/>
      <c r="B311" s="255"/>
      <c r="C311" s="126" t="s">
        <v>358</v>
      </c>
      <c r="D311" s="248"/>
      <c r="E311" s="49"/>
      <c r="F311" s="14"/>
      <c r="G311" s="251"/>
      <c r="H311" s="251"/>
      <c r="I311" s="15"/>
      <c r="J311" s="343"/>
      <c r="K311" s="343"/>
      <c r="L311" s="197"/>
    </row>
    <row r="312" spans="1:12" ht="17.399999999999999" customHeight="1" x14ac:dyDescent="0.25">
      <c r="A312" s="258"/>
      <c r="B312" s="255"/>
      <c r="C312" s="126" t="s">
        <v>359</v>
      </c>
      <c r="D312" s="248"/>
      <c r="E312" s="49"/>
      <c r="F312" s="14"/>
      <c r="G312" s="251"/>
      <c r="H312" s="251"/>
      <c r="I312" s="15"/>
      <c r="J312" s="343"/>
      <c r="K312" s="343"/>
      <c r="L312" s="197"/>
    </row>
    <row r="313" spans="1:12" ht="17.399999999999999" customHeight="1" x14ac:dyDescent="0.25">
      <c r="A313" s="258"/>
      <c r="B313" s="255"/>
      <c r="C313" s="126" t="s">
        <v>360</v>
      </c>
      <c r="D313" s="248"/>
      <c r="E313" s="49"/>
      <c r="F313" s="14"/>
      <c r="G313" s="251"/>
      <c r="H313" s="251"/>
      <c r="I313" s="15"/>
      <c r="J313" s="343"/>
      <c r="K313" s="343"/>
      <c r="L313" s="197"/>
    </row>
    <row r="314" spans="1:12" ht="17.399999999999999" customHeight="1" x14ac:dyDescent="0.25">
      <c r="A314" s="258"/>
      <c r="B314" s="255"/>
      <c r="C314" s="126" t="s">
        <v>361</v>
      </c>
      <c r="D314" s="248"/>
      <c r="E314" s="49"/>
      <c r="F314" s="14"/>
      <c r="G314" s="251"/>
      <c r="H314" s="251"/>
      <c r="I314" s="15"/>
      <c r="J314" s="343"/>
      <c r="K314" s="343"/>
      <c r="L314" s="197"/>
    </row>
    <row r="315" spans="1:12" ht="17.399999999999999" customHeight="1" x14ac:dyDescent="0.25">
      <c r="A315" s="258"/>
      <c r="B315" s="255"/>
      <c r="C315" s="126" t="s">
        <v>362</v>
      </c>
      <c r="D315" s="248"/>
      <c r="E315" s="49"/>
      <c r="F315" s="14"/>
      <c r="G315" s="251"/>
      <c r="H315" s="251"/>
      <c r="I315" s="15"/>
      <c r="J315" s="343"/>
      <c r="K315" s="343"/>
      <c r="L315" s="197"/>
    </row>
    <row r="316" spans="1:12" ht="17.399999999999999" customHeight="1" x14ac:dyDescent="0.25">
      <c r="A316" s="258"/>
      <c r="B316" s="255"/>
      <c r="C316" s="126" t="s">
        <v>363</v>
      </c>
      <c r="D316" s="248"/>
      <c r="E316" s="49"/>
      <c r="F316" s="14"/>
      <c r="G316" s="251"/>
      <c r="H316" s="251"/>
      <c r="I316" s="15"/>
      <c r="J316" s="343"/>
      <c r="K316" s="343"/>
      <c r="L316" s="197"/>
    </row>
    <row r="317" spans="1:12" ht="17.399999999999999" customHeight="1" x14ac:dyDescent="0.25">
      <c r="A317" s="258"/>
      <c r="B317" s="255"/>
      <c r="C317" s="126" t="s">
        <v>364</v>
      </c>
      <c r="D317" s="248"/>
      <c r="E317" s="49"/>
      <c r="F317" s="14"/>
      <c r="G317" s="251"/>
      <c r="H317" s="251"/>
      <c r="I317" s="15"/>
      <c r="J317" s="343"/>
      <c r="K317" s="343"/>
      <c r="L317" s="197"/>
    </row>
    <row r="318" spans="1:12" ht="17.399999999999999" customHeight="1" x14ac:dyDescent="0.25">
      <c r="A318" s="258"/>
      <c r="B318" s="255"/>
      <c r="C318" s="126" t="s">
        <v>365</v>
      </c>
      <c r="D318" s="248"/>
      <c r="E318" s="49"/>
      <c r="F318" s="14"/>
      <c r="G318" s="251"/>
      <c r="H318" s="251"/>
      <c r="I318" s="15"/>
      <c r="J318" s="343"/>
      <c r="K318" s="343"/>
      <c r="L318" s="197"/>
    </row>
    <row r="319" spans="1:12" ht="17.399999999999999" customHeight="1" x14ac:dyDescent="0.25">
      <c r="A319" s="258"/>
      <c r="B319" s="255"/>
      <c r="C319" s="126" t="s">
        <v>366</v>
      </c>
      <c r="D319" s="248"/>
      <c r="E319" s="49"/>
      <c r="F319" s="14"/>
      <c r="G319" s="251"/>
      <c r="H319" s="251"/>
      <c r="I319" s="15"/>
      <c r="J319" s="343"/>
      <c r="K319" s="343"/>
      <c r="L319" s="197"/>
    </row>
    <row r="320" spans="1:12" ht="17.399999999999999" customHeight="1" x14ac:dyDescent="0.25">
      <c r="A320" s="258"/>
      <c r="B320" s="255"/>
      <c r="C320" s="126" t="s">
        <v>367</v>
      </c>
      <c r="D320" s="248"/>
      <c r="E320" s="49"/>
      <c r="F320" s="14"/>
      <c r="G320" s="251"/>
      <c r="H320" s="251"/>
      <c r="I320" s="15"/>
      <c r="J320" s="343"/>
      <c r="K320" s="343"/>
      <c r="L320" s="197"/>
    </row>
    <row r="321" spans="1:12" ht="17.399999999999999" customHeight="1" x14ac:dyDescent="0.25">
      <c r="A321" s="258"/>
      <c r="B321" s="255"/>
      <c r="C321" s="126" t="s">
        <v>368</v>
      </c>
      <c r="D321" s="248"/>
      <c r="E321" s="49"/>
      <c r="F321" s="14"/>
      <c r="G321" s="251"/>
      <c r="H321" s="251"/>
      <c r="I321" s="15"/>
      <c r="J321" s="343"/>
      <c r="K321" s="343"/>
      <c r="L321" s="197"/>
    </row>
    <row r="322" spans="1:12" ht="17.399999999999999" customHeight="1" x14ac:dyDescent="0.25">
      <c r="A322" s="258"/>
      <c r="B322" s="255"/>
      <c r="C322" s="126" t="s">
        <v>369</v>
      </c>
      <c r="D322" s="248"/>
      <c r="E322" s="49"/>
      <c r="F322" s="14"/>
      <c r="G322" s="251"/>
      <c r="H322" s="251"/>
      <c r="I322" s="15"/>
      <c r="J322" s="343"/>
      <c r="K322" s="343"/>
      <c r="L322" s="197"/>
    </row>
    <row r="323" spans="1:12" ht="17.399999999999999" customHeight="1" x14ac:dyDescent="0.25">
      <c r="A323" s="258"/>
      <c r="B323" s="255"/>
      <c r="C323" s="126" t="s">
        <v>370</v>
      </c>
      <c r="D323" s="248"/>
      <c r="E323" s="49"/>
      <c r="F323" s="14"/>
      <c r="G323" s="251"/>
      <c r="H323" s="251"/>
      <c r="I323" s="15"/>
      <c r="J323" s="343"/>
      <c r="K323" s="343"/>
      <c r="L323" s="197"/>
    </row>
    <row r="324" spans="1:12" ht="17.399999999999999" customHeight="1" x14ac:dyDescent="0.25">
      <c r="A324" s="258"/>
      <c r="B324" s="255"/>
      <c r="C324" s="126" t="s">
        <v>371</v>
      </c>
      <c r="D324" s="248"/>
      <c r="E324" s="49"/>
      <c r="F324" s="14"/>
      <c r="G324" s="251"/>
      <c r="H324" s="251"/>
      <c r="I324" s="15"/>
      <c r="J324" s="343"/>
      <c r="K324" s="343"/>
      <c r="L324" s="197"/>
    </row>
    <row r="325" spans="1:12" ht="17.399999999999999" customHeight="1" x14ac:dyDescent="0.25">
      <c r="A325" s="258"/>
      <c r="B325" s="255"/>
      <c r="C325" s="126" t="s">
        <v>372</v>
      </c>
      <c r="D325" s="248"/>
      <c r="E325" s="49"/>
      <c r="F325" s="14"/>
      <c r="G325" s="251"/>
      <c r="H325" s="251"/>
      <c r="I325" s="15"/>
      <c r="J325" s="343"/>
      <c r="K325" s="343"/>
      <c r="L325" s="197"/>
    </row>
    <row r="326" spans="1:12" ht="17.399999999999999" customHeight="1" x14ac:dyDescent="0.25">
      <c r="A326" s="258"/>
      <c r="B326" s="255"/>
      <c r="C326" s="126" t="s">
        <v>373</v>
      </c>
      <c r="D326" s="248"/>
      <c r="E326" s="49"/>
      <c r="F326" s="14"/>
      <c r="G326" s="251"/>
      <c r="H326" s="251"/>
      <c r="I326" s="15"/>
      <c r="J326" s="343"/>
      <c r="K326" s="343"/>
      <c r="L326" s="197"/>
    </row>
    <row r="327" spans="1:12" ht="17.399999999999999" customHeight="1" x14ac:dyDescent="0.25">
      <c r="A327" s="258"/>
      <c r="B327" s="255"/>
      <c r="C327" s="126" t="s">
        <v>374</v>
      </c>
      <c r="D327" s="248"/>
      <c r="E327" s="49"/>
      <c r="F327" s="14"/>
      <c r="G327" s="251"/>
      <c r="H327" s="251"/>
      <c r="I327" s="15"/>
      <c r="J327" s="343"/>
      <c r="K327" s="343"/>
      <c r="L327" s="197"/>
    </row>
    <row r="328" spans="1:12" ht="17.399999999999999" customHeight="1" x14ac:dyDescent="0.25">
      <c r="A328" s="258"/>
      <c r="B328" s="255"/>
      <c r="C328" s="126" t="s">
        <v>375</v>
      </c>
      <c r="D328" s="248"/>
      <c r="E328" s="49"/>
      <c r="F328" s="14"/>
      <c r="G328" s="251"/>
      <c r="H328" s="251"/>
      <c r="I328" s="15"/>
      <c r="J328" s="343"/>
      <c r="K328" s="343"/>
      <c r="L328" s="197"/>
    </row>
    <row r="329" spans="1:12" ht="17.399999999999999" customHeight="1" thickBot="1" x14ac:dyDescent="0.3">
      <c r="A329" s="259"/>
      <c r="B329" s="256"/>
      <c r="C329" s="84" t="s">
        <v>376</v>
      </c>
      <c r="D329" s="249"/>
      <c r="E329" s="115"/>
      <c r="F329" s="116"/>
      <c r="G329" s="252"/>
      <c r="H329" s="252"/>
      <c r="I329" s="117"/>
      <c r="J329" s="344"/>
      <c r="K329" s="344"/>
      <c r="L329" s="198"/>
    </row>
    <row r="330" spans="1:12" ht="34.950000000000003" customHeight="1" x14ac:dyDescent="0.25">
      <c r="A330" s="257" t="s">
        <v>378</v>
      </c>
      <c r="B330" s="254" t="s">
        <v>379</v>
      </c>
      <c r="C330" s="83" t="s">
        <v>380</v>
      </c>
      <c r="D330" s="247" t="s">
        <v>412</v>
      </c>
      <c r="E330" s="109"/>
      <c r="F330" s="110"/>
      <c r="G330" s="253">
        <v>1</v>
      </c>
      <c r="H330" s="253" t="s">
        <v>595</v>
      </c>
      <c r="I330" s="260" t="s">
        <v>612</v>
      </c>
      <c r="J330" s="367">
        <v>7000</v>
      </c>
      <c r="K330" s="345">
        <f>J330*L11</f>
        <v>372908.19999999995</v>
      </c>
      <c r="L330" s="216">
        <f>K330</f>
        <v>372908.19999999995</v>
      </c>
    </row>
    <row r="331" spans="1:12" ht="17.399999999999999" customHeight="1" x14ac:dyDescent="0.25">
      <c r="A331" s="258"/>
      <c r="B331" s="255"/>
      <c r="C331" s="123" t="s">
        <v>381</v>
      </c>
      <c r="D331" s="248"/>
      <c r="E331" s="49"/>
      <c r="F331" s="14"/>
      <c r="G331" s="251"/>
      <c r="H331" s="251"/>
      <c r="I331" s="207"/>
      <c r="J331" s="368"/>
      <c r="K331" s="205"/>
      <c r="L331" s="197"/>
    </row>
    <row r="332" spans="1:12" ht="17.399999999999999" customHeight="1" x14ac:dyDescent="0.25">
      <c r="A332" s="258"/>
      <c r="B332" s="255"/>
      <c r="C332" s="123" t="s">
        <v>382</v>
      </c>
      <c r="D332" s="248"/>
      <c r="E332" s="49"/>
      <c r="F332" s="14"/>
      <c r="G332" s="251"/>
      <c r="H332" s="251"/>
      <c r="I332" s="207"/>
      <c r="J332" s="368"/>
      <c r="K332" s="205"/>
      <c r="L332" s="197"/>
    </row>
    <row r="333" spans="1:12" ht="17.399999999999999" customHeight="1" x14ac:dyDescent="0.25">
      <c r="A333" s="258"/>
      <c r="B333" s="255"/>
      <c r="C333" s="123" t="s">
        <v>383</v>
      </c>
      <c r="D333" s="248"/>
      <c r="E333" s="49"/>
      <c r="F333" s="14"/>
      <c r="G333" s="251"/>
      <c r="H333" s="251"/>
      <c r="I333" s="207"/>
      <c r="J333" s="368"/>
      <c r="K333" s="205"/>
      <c r="L333" s="197"/>
    </row>
    <row r="334" spans="1:12" ht="17.399999999999999" customHeight="1" x14ac:dyDescent="0.25">
      <c r="A334" s="258"/>
      <c r="B334" s="255"/>
      <c r="C334" s="123" t="s">
        <v>384</v>
      </c>
      <c r="D334" s="248"/>
      <c r="E334" s="49"/>
      <c r="F334" s="14"/>
      <c r="G334" s="251"/>
      <c r="H334" s="251"/>
      <c r="I334" s="207"/>
      <c r="J334" s="368"/>
      <c r="K334" s="205"/>
      <c r="L334" s="197"/>
    </row>
    <row r="335" spans="1:12" ht="17.399999999999999" customHeight="1" x14ac:dyDescent="0.25">
      <c r="A335" s="258"/>
      <c r="B335" s="255"/>
      <c r="C335" s="123" t="s">
        <v>385</v>
      </c>
      <c r="D335" s="248"/>
      <c r="E335" s="49"/>
      <c r="F335" s="14"/>
      <c r="G335" s="251"/>
      <c r="H335" s="251"/>
      <c r="I335" s="207"/>
      <c r="J335" s="368"/>
      <c r="K335" s="205"/>
      <c r="L335" s="197"/>
    </row>
    <row r="336" spans="1:12" ht="17.399999999999999" customHeight="1" x14ac:dyDescent="0.25">
      <c r="A336" s="258"/>
      <c r="B336" s="255"/>
      <c r="C336" s="123" t="s">
        <v>386</v>
      </c>
      <c r="D336" s="248"/>
      <c r="E336" s="49"/>
      <c r="F336" s="14"/>
      <c r="G336" s="251"/>
      <c r="H336" s="251"/>
      <c r="I336" s="207"/>
      <c r="J336" s="368"/>
      <c r="K336" s="205"/>
      <c r="L336" s="197"/>
    </row>
    <row r="337" spans="1:12" ht="17.399999999999999" customHeight="1" x14ac:dyDescent="0.25">
      <c r="A337" s="258"/>
      <c r="B337" s="255"/>
      <c r="C337" s="123" t="s">
        <v>387</v>
      </c>
      <c r="D337" s="248"/>
      <c r="E337" s="49"/>
      <c r="F337" s="14"/>
      <c r="G337" s="251"/>
      <c r="H337" s="251"/>
      <c r="I337" s="207"/>
      <c r="J337" s="368"/>
      <c r="K337" s="205"/>
      <c r="L337" s="197"/>
    </row>
    <row r="338" spans="1:12" ht="17.399999999999999" customHeight="1" x14ac:dyDescent="0.25">
      <c r="A338" s="258"/>
      <c r="B338" s="255"/>
      <c r="C338" s="123" t="s">
        <v>388</v>
      </c>
      <c r="D338" s="248"/>
      <c r="E338" s="49"/>
      <c r="F338" s="14"/>
      <c r="G338" s="251"/>
      <c r="H338" s="251"/>
      <c r="I338" s="207"/>
      <c r="J338" s="368"/>
      <c r="K338" s="205"/>
      <c r="L338" s="197"/>
    </row>
    <row r="339" spans="1:12" ht="17.399999999999999" customHeight="1" x14ac:dyDescent="0.25">
      <c r="A339" s="258"/>
      <c r="B339" s="255"/>
      <c r="C339" s="126" t="s">
        <v>389</v>
      </c>
      <c r="D339" s="248"/>
      <c r="E339" s="49"/>
      <c r="F339" s="14"/>
      <c r="G339" s="251"/>
      <c r="H339" s="251"/>
      <c r="I339" s="207"/>
      <c r="J339" s="368"/>
      <c r="K339" s="205"/>
      <c r="L339" s="197"/>
    </row>
    <row r="340" spans="1:12" ht="17.399999999999999" customHeight="1" x14ac:dyDescent="0.25">
      <c r="A340" s="258"/>
      <c r="B340" s="255"/>
      <c r="C340" s="123" t="s">
        <v>390</v>
      </c>
      <c r="D340" s="248"/>
      <c r="E340" s="49"/>
      <c r="F340" s="14"/>
      <c r="G340" s="251"/>
      <c r="H340" s="251"/>
      <c r="I340" s="207"/>
      <c r="J340" s="368"/>
      <c r="K340" s="205"/>
      <c r="L340" s="197"/>
    </row>
    <row r="341" spans="1:12" ht="17.399999999999999" customHeight="1" x14ac:dyDescent="0.25">
      <c r="A341" s="258"/>
      <c r="B341" s="255"/>
      <c r="C341" s="123" t="s">
        <v>391</v>
      </c>
      <c r="D341" s="248"/>
      <c r="E341" s="49"/>
      <c r="F341" s="14"/>
      <c r="G341" s="251"/>
      <c r="H341" s="251"/>
      <c r="I341" s="207"/>
      <c r="J341" s="368"/>
      <c r="K341" s="205"/>
      <c r="L341" s="197"/>
    </row>
    <row r="342" spans="1:12" ht="17.399999999999999" customHeight="1" x14ac:dyDescent="0.25">
      <c r="A342" s="258"/>
      <c r="B342" s="255"/>
      <c r="C342" s="123" t="s">
        <v>392</v>
      </c>
      <c r="D342" s="248"/>
      <c r="E342" s="49"/>
      <c r="F342" s="14"/>
      <c r="G342" s="251"/>
      <c r="H342" s="251"/>
      <c r="I342" s="207"/>
      <c r="J342" s="368"/>
      <c r="K342" s="205"/>
      <c r="L342" s="197"/>
    </row>
    <row r="343" spans="1:12" ht="17.399999999999999" customHeight="1" x14ac:dyDescent="0.25">
      <c r="A343" s="258"/>
      <c r="B343" s="255"/>
      <c r="C343" s="123" t="s">
        <v>393</v>
      </c>
      <c r="D343" s="248"/>
      <c r="E343" s="49"/>
      <c r="F343" s="14"/>
      <c r="G343" s="251"/>
      <c r="H343" s="251"/>
      <c r="I343" s="207"/>
      <c r="J343" s="368"/>
      <c r="K343" s="205"/>
      <c r="L343" s="197"/>
    </row>
    <row r="344" spans="1:12" ht="17.399999999999999" customHeight="1" x14ac:dyDescent="0.25">
      <c r="A344" s="258"/>
      <c r="B344" s="255"/>
      <c r="C344" s="123" t="s">
        <v>394</v>
      </c>
      <c r="D344" s="248"/>
      <c r="E344" s="49"/>
      <c r="F344" s="14"/>
      <c r="G344" s="251"/>
      <c r="H344" s="251"/>
      <c r="I344" s="207"/>
      <c r="J344" s="368"/>
      <c r="K344" s="205"/>
      <c r="L344" s="197"/>
    </row>
    <row r="345" spans="1:12" ht="17.399999999999999" customHeight="1" x14ac:dyDescent="0.25">
      <c r="A345" s="258"/>
      <c r="B345" s="255"/>
      <c r="C345" s="126" t="s">
        <v>395</v>
      </c>
      <c r="D345" s="248"/>
      <c r="E345" s="49"/>
      <c r="F345" s="14"/>
      <c r="G345" s="251"/>
      <c r="H345" s="251"/>
      <c r="I345" s="207"/>
      <c r="J345" s="368"/>
      <c r="K345" s="205"/>
      <c r="L345" s="197"/>
    </row>
    <row r="346" spans="1:12" ht="17.399999999999999" customHeight="1" x14ac:dyDescent="0.25">
      <c r="A346" s="258"/>
      <c r="B346" s="255"/>
      <c r="C346" s="123" t="s">
        <v>396</v>
      </c>
      <c r="D346" s="248"/>
      <c r="E346" s="49"/>
      <c r="F346" s="14"/>
      <c r="G346" s="251"/>
      <c r="H346" s="251"/>
      <c r="I346" s="207"/>
      <c r="J346" s="368"/>
      <c r="K346" s="205"/>
      <c r="L346" s="197"/>
    </row>
    <row r="347" spans="1:12" ht="17.399999999999999" customHeight="1" x14ac:dyDescent="0.25">
      <c r="A347" s="258"/>
      <c r="B347" s="255"/>
      <c r="C347" s="123" t="s">
        <v>397</v>
      </c>
      <c r="D347" s="248"/>
      <c r="E347" s="49"/>
      <c r="F347" s="14"/>
      <c r="G347" s="251"/>
      <c r="H347" s="251"/>
      <c r="I347" s="207"/>
      <c r="J347" s="368"/>
      <c r="K347" s="205"/>
      <c r="L347" s="197"/>
    </row>
    <row r="348" spans="1:12" ht="17.399999999999999" customHeight="1" x14ac:dyDescent="0.25">
      <c r="A348" s="258"/>
      <c r="B348" s="255"/>
      <c r="C348" s="123" t="s">
        <v>398</v>
      </c>
      <c r="D348" s="248"/>
      <c r="E348" s="49"/>
      <c r="F348" s="14"/>
      <c r="G348" s="251"/>
      <c r="H348" s="251"/>
      <c r="I348" s="207"/>
      <c r="J348" s="368"/>
      <c r="K348" s="205"/>
      <c r="L348" s="197"/>
    </row>
    <row r="349" spans="1:12" ht="17.399999999999999" customHeight="1" x14ac:dyDescent="0.25">
      <c r="A349" s="258"/>
      <c r="B349" s="255"/>
      <c r="C349" s="123" t="s">
        <v>399</v>
      </c>
      <c r="D349" s="248"/>
      <c r="E349" s="49"/>
      <c r="F349" s="14"/>
      <c r="G349" s="251"/>
      <c r="H349" s="251"/>
      <c r="I349" s="207"/>
      <c r="J349" s="368"/>
      <c r="K349" s="205"/>
      <c r="L349" s="197"/>
    </row>
    <row r="350" spans="1:12" ht="17.399999999999999" customHeight="1" x14ac:dyDescent="0.25">
      <c r="A350" s="258"/>
      <c r="B350" s="255"/>
      <c r="C350" s="123" t="s">
        <v>400</v>
      </c>
      <c r="D350" s="248"/>
      <c r="E350" s="49"/>
      <c r="F350" s="14"/>
      <c r="G350" s="251"/>
      <c r="H350" s="251"/>
      <c r="I350" s="207"/>
      <c r="J350" s="368"/>
      <c r="K350" s="205"/>
      <c r="L350" s="197"/>
    </row>
    <row r="351" spans="1:12" ht="17.399999999999999" customHeight="1" x14ac:dyDescent="0.25">
      <c r="A351" s="258"/>
      <c r="B351" s="255"/>
      <c r="C351" s="126" t="s">
        <v>401</v>
      </c>
      <c r="D351" s="248"/>
      <c r="E351" s="49"/>
      <c r="F351" s="14"/>
      <c r="G351" s="251"/>
      <c r="H351" s="251"/>
      <c r="I351" s="207"/>
      <c r="J351" s="368"/>
      <c r="K351" s="205"/>
      <c r="L351" s="197"/>
    </row>
    <row r="352" spans="1:12" ht="17.399999999999999" customHeight="1" x14ac:dyDescent="0.25">
      <c r="A352" s="258"/>
      <c r="B352" s="255"/>
      <c r="C352" s="123" t="s">
        <v>402</v>
      </c>
      <c r="D352" s="248"/>
      <c r="E352" s="49"/>
      <c r="F352" s="14"/>
      <c r="G352" s="251"/>
      <c r="H352" s="251"/>
      <c r="I352" s="207"/>
      <c r="J352" s="368"/>
      <c r="K352" s="205"/>
      <c r="L352" s="197"/>
    </row>
    <row r="353" spans="1:12" ht="17.399999999999999" customHeight="1" x14ac:dyDescent="0.25">
      <c r="A353" s="258"/>
      <c r="B353" s="255"/>
      <c r="C353" s="123" t="s">
        <v>403</v>
      </c>
      <c r="D353" s="248"/>
      <c r="E353" s="49"/>
      <c r="F353" s="14"/>
      <c r="G353" s="251"/>
      <c r="H353" s="251"/>
      <c r="I353" s="207"/>
      <c r="J353" s="368"/>
      <c r="K353" s="205"/>
      <c r="L353" s="197"/>
    </row>
    <row r="354" spans="1:12" ht="17.399999999999999" customHeight="1" x14ac:dyDescent="0.25">
      <c r="A354" s="258"/>
      <c r="B354" s="255"/>
      <c r="C354" s="123" t="s">
        <v>404</v>
      </c>
      <c r="D354" s="248"/>
      <c r="E354" s="49"/>
      <c r="F354" s="14"/>
      <c r="G354" s="251"/>
      <c r="H354" s="251"/>
      <c r="I354" s="207"/>
      <c r="J354" s="368"/>
      <c r="K354" s="205"/>
      <c r="L354" s="197"/>
    </row>
    <row r="355" spans="1:12" ht="17.399999999999999" customHeight="1" x14ac:dyDescent="0.25">
      <c r="A355" s="258"/>
      <c r="B355" s="255"/>
      <c r="C355" s="123" t="s">
        <v>405</v>
      </c>
      <c r="D355" s="248"/>
      <c r="E355" s="49"/>
      <c r="F355" s="14"/>
      <c r="G355" s="251"/>
      <c r="H355" s="251"/>
      <c r="I355" s="207"/>
      <c r="J355" s="368"/>
      <c r="K355" s="205"/>
      <c r="L355" s="197"/>
    </row>
    <row r="356" spans="1:12" ht="17.399999999999999" customHeight="1" x14ac:dyDescent="0.25">
      <c r="A356" s="258"/>
      <c r="B356" s="255"/>
      <c r="C356" s="123" t="s">
        <v>406</v>
      </c>
      <c r="D356" s="248"/>
      <c r="E356" s="49"/>
      <c r="F356" s="14"/>
      <c r="G356" s="251"/>
      <c r="H356" s="251"/>
      <c r="I356" s="207"/>
      <c r="J356" s="368"/>
      <c r="K356" s="205"/>
      <c r="L356" s="197"/>
    </row>
    <row r="357" spans="1:12" ht="17.399999999999999" customHeight="1" x14ac:dyDescent="0.25">
      <c r="A357" s="258"/>
      <c r="B357" s="255"/>
      <c r="C357" s="126" t="s">
        <v>407</v>
      </c>
      <c r="D357" s="248"/>
      <c r="E357" s="49"/>
      <c r="F357" s="14"/>
      <c r="G357" s="251"/>
      <c r="H357" s="251"/>
      <c r="I357" s="207"/>
      <c r="J357" s="368"/>
      <c r="K357" s="205"/>
      <c r="L357" s="197"/>
    </row>
    <row r="358" spans="1:12" ht="17.399999999999999" customHeight="1" x14ac:dyDescent="0.25">
      <c r="A358" s="258"/>
      <c r="B358" s="255"/>
      <c r="C358" s="123" t="s">
        <v>408</v>
      </c>
      <c r="D358" s="248"/>
      <c r="E358" s="49"/>
      <c r="F358" s="14"/>
      <c r="G358" s="251"/>
      <c r="H358" s="251"/>
      <c r="I358" s="207"/>
      <c r="J358" s="368"/>
      <c r="K358" s="205"/>
      <c r="L358" s="197"/>
    </row>
    <row r="359" spans="1:12" ht="17.399999999999999" customHeight="1" x14ac:dyDescent="0.25">
      <c r="A359" s="258"/>
      <c r="B359" s="255"/>
      <c r="C359" s="123" t="s">
        <v>409</v>
      </c>
      <c r="D359" s="248"/>
      <c r="E359" s="49"/>
      <c r="F359" s="14"/>
      <c r="G359" s="251"/>
      <c r="H359" s="251"/>
      <c r="I359" s="207"/>
      <c r="J359" s="368"/>
      <c r="K359" s="205"/>
      <c r="L359" s="197"/>
    </row>
    <row r="360" spans="1:12" ht="17.399999999999999" x14ac:dyDescent="0.25">
      <c r="A360" s="258"/>
      <c r="B360" s="40" t="s">
        <v>410</v>
      </c>
      <c r="C360" s="340" t="s">
        <v>413</v>
      </c>
      <c r="D360" s="248"/>
      <c r="E360" s="49"/>
      <c r="F360" s="14"/>
      <c r="G360" s="251"/>
      <c r="H360" s="251"/>
      <c r="I360" s="207"/>
      <c r="J360" s="368"/>
      <c r="K360" s="205"/>
      <c r="L360" s="197"/>
    </row>
    <row r="361" spans="1:12" ht="18" thickBot="1" x14ac:dyDescent="0.3">
      <c r="A361" s="259"/>
      <c r="B361" s="81" t="s">
        <v>411</v>
      </c>
      <c r="C361" s="341"/>
      <c r="D361" s="249"/>
      <c r="E361" s="115"/>
      <c r="F361" s="116"/>
      <c r="G361" s="252"/>
      <c r="H361" s="252"/>
      <c r="I361" s="208"/>
      <c r="J361" s="371"/>
      <c r="K361" s="206"/>
      <c r="L361" s="198"/>
    </row>
    <row r="362" spans="1:12" ht="17.399999999999999" customHeight="1" x14ac:dyDescent="0.25">
      <c r="A362" s="257" t="s">
        <v>414</v>
      </c>
      <c r="B362" s="254" t="s">
        <v>415</v>
      </c>
      <c r="C362" s="76" t="s">
        <v>416</v>
      </c>
      <c r="D362" s="247" t="s">
        <v>433</v>
      </c>
      <c r="E362" s="109"/>
      <c r="F362" s="110"/>
      <c r="G362" s="253">
        <v>3</v>
      </c>
      <c r="H362" s="253" t="s">
        <v>595</v>
      </c>
      <c r="I362" s="260"/>
      <c r="J362" s="349">
        <v>9000</v>
      </c>
      <c r="K362" s="345">
        <f>J362*G362</f>
        <v>27000</v>
      </c>
      <c r="L362" s="216">
        <f>K362</f>
        <v>27000</v>
      </c>
    </row>
    <row r="363" spans="1:12" ht="17.399999999999999" customHeight="1" x14ac:dyDescent="0.25">
      <c r="A363" s="258"/>
      <c r="B363" s="255"/>
      <c r="C363" s="123" t="s">
        <v>417</v>
      </c>
      <c r="D363" s="248"/>
      <c r="E363" s="49"/>
      <c r="F363" s="14"/>
      <c r="G363" s="251"/>
      <c r="H363" s="251"/>
      <c r="I363" s="207"/>
      <c r="J363" s="350"/>
      <c r="K363" s="205"/>
      <c r="L363" s="197"/>
    </row>
    <row r="364" spans="1:12" ht="17.399999999999999" customHeight="1" x14ac:dyDescent="0.25">
      <c r="A364" s="258"/>
      <c r="B364" s="255"/>
      <c r="C364" s="123" t="s">
        <v>418</v>
      </c>
      <c r="D364" s="248"/>
      <c r="E364" s="49"/>
      <c r="F364" s="14"/>
      <c r="G364" s="251"/>
      <c r="H364" s="251"/>
      <c r="I364" s="207"/>
      <c r="J364" s="350"/>
      <c r="K364" s="205"/>
      <c r="L364" s="197"/>
    </row>
    <row r="365" spans="1:12" ht="17.399999999999999" customHeight="1" x14ac:dyDescent="0.25">
      <c r="A365" s="258"/>
      <c r="B365" s="255"/>
      <c r="C365" s="123" t="s">
        <v>419</v>
      </c>
      <c r="D365" s="248"/>
      <c r="E365" s="49"/>
      <c r="F365" s="14"/>
      <c r="G365" s="251"/>
      <c r="H365" s="251"/>
      <c r="I365" s="207"/>
      <c r="J365" s="350"/>
      <c r="K365" s="205"/>
      <c r="L365" s="197"/>
    </row>
    <row r="366" spans="1:12" ht="17.399999999999999" customHeight="1" x14ac:dyDescent="0.25">
      <c r="A366" s="258"/>
      <c r="B366" s="255"/>
      <c r="C366" s="123" t="s">
        <v>420</v>
      </c>
      <c r="D366" s="248"/>
      <c r="E366" s="49"/>
      <c r="F366" s="14"/>
      <c r="G366" s="251"/>
      <c r="H366" s="251"/>
      <c r="I366" s="207"/>
      <c r="J366" s="350"/>
      <c r="K366" s="205"/>
      <c r="L366" s="197"/>
    </row>
    <row r="367" spans="1:12" ht="17.399999999999999" customHeight="1" x14ac:dyDescent="0.25">
      <c r="A367" s="258"/>
      <c r="B367" s="255"/>
      <c r="C367" s="123" t="s">
        <v>421</v>
      </c>
      <c r="D367" s="248"/>
      <c r="E367" s="49"/>
      <c r="F367" s="14"/>
      <c r="G367" s="251"/>
      <c r="H367" s="251"/>
      <c r="I367" s="207"/>
      <c r="J367" s="350"/>
      <c r="K367" s="205"/>
      <c r="L367" s="197"/>
    </row>
    <row r="368" spans="1:12" ht="17.399999999999999" customHeight="1" x14ac:dyDescent="0.25">
      <c r="A368" s="258"/>
      <c r="B368" s="255"/>
      <c r="C368" s="123" t="s">
        <v>422</v>
      </c>
      <c r="D368" s="248"/>
      <c r="E368" s="49"/>
      <c r="F368" s="14"/>
      <c r="G368" s="251"/>
      <c r="H368" s="251"/>
      <c r="I368" s="207"/>
      <c r="J368" s="350"/>
      <c r="K368" s="205"/>
      <c r="L368" s="197"/>
    </row>
    <row r="369" spans="1:12" ht="17.399999999999999" customHeight="1" x14ac:dyDescent="0.25">
      <c r="A369" s="258"/>
      <c r="B369" s="255"/>
      <c r="C369" s="123" t="s">
        <v>423</v>
      </c>
      <c r="D369" s="248"/>
      <c r="E369" s="49"/>
      <c r="F369" s="14"/>
      <c r="G369" s="251"/>
      <c r="H369" s="251"/>
      <c r="I369" s="207"/>
      <c r="J369" s="350"/>
      <c r="K369" s="205"/>
      <c r="L369" s="197"/>
    </row>
    <row r="370" spans="1:12" ht="17.399999999999999" customHeight="1" x14ac:dyDescent="0.25">
      <c r="A370" s="258"/>
      <c r="B370" s="255"/>
      <c r="C370" s="123" t="s">
        <v>424</v>
      </c>
      <c r="D370" s="248"/>
      <c r="E370" s="49"/>
      <c r="F370" s="14"/>
      <c r="G370" s="251"/>
      <c r="H370" s="251"/>
      <c r="I370" s="207"/>
      <c r="J370" s="350"/>
      <c r="K370" s="205"/>
      <c r="L370" s="197"/>
    </row>
    <row r="371" spans="1:12" ht="17.399999999999999" customHeight="1" x14ac:dyDescent="0.25">
      <c r="A371" s="258"/>
      <c r="B371" s="255"/>
      <c r="C371" s="123" t="s">
        <v>425</v>
      </c>
      <c r="D371" s="248"/>
      <c r="E371" s="49"/>
      <c r="F371" s="14"/>
      <c r="G371" s="251"/>
      <c r="H371" s="251"/>
      <c r="I371" s="207"/>
      <c r="J371" s="350"/>
      <c r="K371" s="205"/>
      <c r="L371" s="197"/>
    </row>
    <row r="372" spans="1:12" ht="17.399999999999999" customHeight="1" x14ac:dyDescent="0.25">
      <c r="A372" s="258"/>
      <c r="B372" s="255"/>
      <c r="C372" s="123" t="s">
        <v>426</v>
      </c>
      <c r="D372" s="248"/>
      <c r="E372" s="49"/>
      <c r="F372" s="14"/>
      <c r="G372" s="251"/>
      <c r="H372" s="251"/>
      <c r="I372" s="207"/>
      <c r="J372" s="350"/>
      <c r="K372" s="205"/>
      <c r="L372" s="197"/>
    </row>
    <row r="373" spans="1:12" ht="17.399999999999999" customHeight="1" x14ac:dyDescent="0.25">
      <c r="A373" s="258"/>
      <c r="B373" s="255"/>
      <c r="C373" s="123" t="s">
        <v>427</v>
      </c>
      <c r="D373" s="248"/>
      <c r="E373" s="49"/>
      <c r="F373" s="14"/>
      <c r="G373" s="251"/>
      <c r="H373" s="251"/>
      <c r="I373" s="207"/>
      <c r="J373" s="350"/>
      <c r="K373" s="205"/>
      <c r="L373" s="197"/>
    </row>
    <row r="374" spans="1:12" ht="27.6" x14ac:dyDescent="0.25">
      <c r="A374" s="258"/>
      <c r="B374" s="255"/>
      <c r="C374" s="123" t="s">
        <v>428</v>
      </c>
      <c r="D374" s="248"/>
      <c r="E374" s="49"/>
      <c r="F374" s="14"/>
      <c r="G374" s="251"/>
      <c r="H374" s="251"/>
      <c r="I374" s="207"/>
      <c r="J374" s="350"/>
      <c r="K374" s="205"/>
      <c r="L374" s="197"/>
    </row>
    <row r="375" spans="1:12" ht="17.399999999999999" customHeight="1" x14ac:dyDescent="0.25">
      <c r="A375" s="258"/>
      <c r="B375" s="255"/>
      <c r="C375" s="123" t="s">
        <v>429</v>
      </c>
      <c r="D375" s="248"/>
      <c r="E375" s="49"/>
      <c r="F375" s="14"/>
      <c r="G375" s="251"/>
      <c r="H375" s="251"/>
      <c r="I375" s="207"/>
      <c r="J375" s="350"/>
      <c r="K375" s="205"/>
      <c r="L375" s="197"/>
    </row>
    <row r="376" spans="1:12" ht="17.399999999999999" customHeight="1" x14ac:dyDescent="0.25">
      <c r="A376" s="258"/>
      <c r="B376" s="255"/>
      <c r="C376" s="123" t="s">
        <v>430</v>
      </c>
      <c r="D376" s="248"/>
      <c r="E376" s="49"/>
      <c r="F376" s="14"/>
      <c r="G376" s="251"/>
      <c r="H376" s="251"/>
      <c r="I376" s="207"/>
      <c r="J376" s="350"/>
      <c r="K376" s="205"/>
      <c r="L376" s="197"/>
    </row>
    <row r="377" spans="1:12" ht="17.399999999999999" customHeight="1" x14ac:dyDescent="0.25">
      <c r="A377" s="258"/>
      <c r="B377" s="255"/>
      <c r="C377" s="123" t="s">
        <v>431</v>
      </c>
      <c r="D377" s="248"/>
      <c r="E377" s="49"/>
      <c r="F377" s="14"/>
      <c r="G377" s="251"/>
      <c r="H377" s="251"/>
      <c r="I377" s="207"/>
      <c r="J377" s="350"/>
      <c r="K377" s="205"/>
      <c r="L377" s="197"/>
    </row>
    <row r="378" spans="1:12" ht="17.399999999999999" customHeight="1" thickBot="1" x14ac:dyDescent="0.3">
      <c r="A378" s="259"/>
      <c r="B378" s="256"/>
      <c r="C378" s="77" t="s">
        <v>432</v>
      </c>
      <c r="D378" s="249"/>
      <c r="E378" s="115"/>
      <c r="F378" s="116"/>
      <c r="G378" s="252"/>
      <c r="H378" s="252"/>
      <c r="I378" s="208"/>
      <c r="J378" s="351"/>
      <c r="K378" s="206"/>
      <c r="L378" s="198"/>
    </row>
    <row r="379" spans="1:12" ht="34.950000000000003" customHeight="1" x14ac:dyDescent="0.25">
      <c r="A379" s="346" t="s">
        <v>434</v>
      </c>
      <c r="B379" s="264" t="s">
        <v>435</v>
      </c>
      <c r="C379" s="76" t="s">
        <v>436</v>
      </c>
      <c r="D379" s="247" t="s">
        <v>454</v>
      </c>
      <c r="E379" s="109"/>
      <c r="F379" s="110"/>
      <c r="G379" s="253">
        <v>1</v>
      </c>
      <c r="H379" s="253" t="s">
        <v>595</v>
      </c>
      <c r="I379" s="260" t="s">
        <v>611</v>
      </c>
      <c r="J379" s="261">
        <v>730</v>
      </c>
      <c r="K379" s="345">
        <f>J379*L10</f>
        <v>33213.612999999998</v>
      </c>
      <c r="L379" s="216">
        <f>K379</f>
        <v>33213.612999999998</v>
      </c>
    </row>
    <row r="380" spans="1:12" ht="17.399999999999999" customHeight="1" x14ac:dyDescent="0.25">
      <c r="A380" s="347"/>
      <c r="B380" s="265"/>
      <c r="C380" s="123" t="s">
        <v>437</v>
      </c>
      <c r="D380" s="248"/>
      <c r="E380" s="49"/>
      <c r="F380" s="14"/>
      <c r="G380" s="251"/>
      <c r="H380" s="251"/>
      <c r="I380" s="207"/>
      <c r="J380" s="262"/>
      <c r="K380" s="205"/>
      <c r="L380" s="197"/>
    </row>
    <row r="381" spans="1:12" ht="17.399999999999999" customHeight="1" x14ac:dyDescent="0.25">
      <c r="A381" s="347"/>
      <c r="B381" s="265"/>
      <c r="C381" s="123" t="s">
        <v>438</v>
      </c>
      <c r="D381" s="248"/>
      <c r="E381" s="49"/>
      <c r="F381" s="14"/>
      <c r="G381" s="251"/>
      <c r="H381" s="251"/>
      <c r="I381" s="207"/>
      <c r="J381" s="262"/>
      <c r="K381" s="205"/>
      <c r="L381" s="197"/>
    </row>
    <row r="382" spans="1:12" ht="17.399999999999999" customHeight="1" x14ac:dyDescent="0.25">
      <c r="A382" s="347"/>
      <c r="B382" s="265"/>
      <c r="C382" s="123" t="s">
        <v>439</v>
      </c>
      <c r="D382" s="248"/>
      <c r="E382" s="49"/>
      <c r="F382" s="14"/>
      <c r="G382" s="251"/>
      <c r="H382" s="251"/>
      <c r="I382" s="207"/>
      <c r="J382" s="262"/>
      <c r="K382" s="205"/>
      <c r="L382" s="197"/>
    </row>
    <row r="383" spans="1:12" ht="17.399999999999999" customHeight="1" x14ac:dyDescent="0.25">
      <c r="A383" s="347"/>
      <c r="B383" s="265"/>
      <c r="C383" s="123" t="s">
        <v>440</v>
      </c>
      <c r="D383" s="248"/>
      <c r="E383" s="49"/>
      <c r="F383" s="14"/>
      <c r="G383" s="251"/>
      <c r="H383" s="251"/>
      <c r="I383" s="207"/>
      <c r="J383" s="262"/>
      <c r="K383" s="205"/>
      <c r="L383" s="197"/>
    </row>
    <row r="384" spans="1:12" ht="17.399999999999999" customHeight="1" x14ac:dyDescent="0.25">
      <c r="A384" s="347"/>
      <c r="B384" s="265"/>
      <c r="C384" s="123" t="s">
        <v>441</v>
      </c>
      <c r="D384" s="248"/>
      <c r="E384" s="49"/>
      <c r="F384" s="14"/>
      <c r="G384" s="251"/>
      <c r="H384" s="251"/>
      <c r="I384" s="207"/>
      <c r="J384" s="262"/>
      <c r="K384" s="205"/>
      <c r="L384" s="197"/>
    </row>
    <row r="385" spans="1:12" ht="17.399999999999999" customHeight="1" x14ac:dyDescent="0.25">
      <c r="A385" s="347"/>
      <c r="B385" s="265"/>
      <c r="C385" s="123" t="s">
        <v>442</v>
      </c>
      <c r="D385" s="248"/>
      <c r="E385" s="49"/>
      <c r="F385" s="14"/>
      <c r="G385" s="251"/>
      <c r="H385" s="251"/>
      <c r="I385" s="207"/>
      <c r="J385" s="262"/>
      <c r="K385" s="205"/>
      <c r="L385" s="197"/>
    </row>
    <row r="386" spans="1:12" ht="17.399999999999999" customHeight="1" x14ac:dyDescent="0.25">
      <c r="A386" s="347"/>
      <c r="B386" s="265"/>
      <c r="C386" s="123" t="s">
        <v>443</v>
      </c>
      <c r="D386" s="248"/>
      <c r="E386" s="49"/>
      <c r="F386" s="14"/>
      <c r="G386" s="251"/>
      <c r="H386" s="251"/>
      <c r="I386" s="207"/>
      <c r="J386" s="262"/>
      <c r="K386" s="205"/>
      <c r="L386" s="197"/>
    </row>
    <row r="387" spans="1:12" ht="17.399999999999999" customHeight="1" x14ac:dyDescent="0.25">
      <c r="A387" s="347"/>
      <c r="B387" s="265"/>
      <c r="C387" s="123" t="s">
        <v>444</v>
      </c>
      <c r="D387" s="248"/>
      <c r="E387" s="49"/>
      <c r="F387" s="14"/>
      <c r="G387" s="251"/>
      <c r="H387" s="251"/>
      <c r="I387" s="207"/>
      <c r="J387" s="262"/>
      <c r="K387" s="205"/>
      <c r="L387" s="197"/>
    </row>
    <row r="388" spans="1:12" ht="17.399999999999999" customHeight="1" x14ac:dyDescent="0.25">
      <c r="A388" s="347"/>
      <c r="B388" s="265"/>
      <c r="C388" s="123" t="s">
        <v>445</v>
      </c>
      <c r="D388" s="248"/>
      <c r="E388" s="49"/>
      <c r="F388" s="14"/>
      <c r="G388" s="251"/>
      <c r="H388" s="251"/>
      <c r="I388" s="207"/>
      <c r="J388" s="262"/>
      <c r="K388" s="205"/>
      <c r="L388" s="197"/>
    </row>
    <row r="389" spans="1:12" ht="17.399999999999999" customHeight="1" x14ac:dyDescent="0.25">
      <c r="A389" s="347"/>
      <c r="B389" s="265"/>
      <c r="C389" s="123" t="s">
        <v>446</v>
      </c>
      <c r="D389" s="248"/>
      <c r="E389" s="49"/>
      <c r="F389" s="14"/>
      <c r="G389" s="251"/>
      <c r="H389" s="251"/>
      <c r="I389" s="207"/>
      <c r="J389" s="262"/>
      <c r="K389" s="205"/>
      <c r="L389" s="197"/>
    </row>
    <row r="390" spans="1:12" ht="17.399999999999999" customHeight="1" x14ac:dyDescent="0.25">
      <c r="A390" s="347"/>
      <c r="B390" s="265"/>
      <c r="C390" s="123" t="s">
        <v>447</v>
      </c>
      <c r="D390" s="248"/>
      <c r="E390" s="49"/>
      <c r="F390" s="14"/>
      <c r="G390" s="251"/>
      <c r="H390" s="251"/>
      <c r="I390" s="207"/>
      <c r="J390" s="262"/>
      <c r="K390" s="205"/>
      <c r="L390" s="197"/>
    </row>
    <row r="391" spans="1:12" ht="17.399999999999999" customHeight="1" x14ac:dyDescent="0.25">
      <c r="A391" s="347"/>
      <c r="B391" s="265"/>
      <c r="C391" s="123" t="s">
        <v>448</v>
      </c>
      <c r="D391" s="248"/>
      <c r="E391" s="49"/>
      <c r="F391" s="14"/>
      <c r="G391" s="251"/>
      <c r="H391" s="251"/>
      <c r="I391" s="207"/>
      <c r="J391" s="262"/>
      <c r="K391" s="205"/>
      <c r="L391" s="197"/>
    </row>
    <row r="392" spans="1:12" ht="17.399999999999999" customHeight="1" x14ac:dyDescent="0.25">
      <c r="A392" s="347"/>
      <c r="B392" s="265"/>
      <c r="C392" s="123" t="s">
        <v>449</v>
      </c>
      <c r="D392" s="248"/>
      <c r="E392" s="49"/>
      <c r="F392" s="14"/>
      <c r="G392" s="251"/>
      <c r="H392" s="251"/>
      <c r="I392" s="207"/>
      <c r="J392" s="262"/>
      <c r="K392" s="205"/>
      <c r="L392" s="197"/>
    </row>
    <row r="393" spans="1:12" ht="17.399999999999999" customHeight="1" x14ac:dyDescent="0.25">
      <c r="A393" s="347"/>
      <c r="B393" s="265"/>
      <c r="C393" s="123" t="s">
        <v>450</v>
      </c>
      <c r="D393" s="248"/>
      <c r="E393" s="49"/>
      <c r="F393" s="14"/>
      <c r="G393" s="251"/>
      <c r="H393" s="251"/>
      <c r="I393" s="207"/>
      <c r="J393" s="262"/>
      <c r="K393" s="205"/>
      <c r="L393" s="197"/>
    </row>
    <row r="394" spans="1:12" ht="17.399999999999999" customHeight="1" x14ac:dyDescent="0.25">
      <c r="A394" s="347"/>
      <c r="B394" s="265"/>
      <c r="C394" s="123" t="s">
        <v>451</v>
      </c>
      <c r="D394" s="248"/>
      <c r="E394" s="49"/>
      <c r="F394" s="14"/>
      <c r="G394" s="251"/>
      <c r="H394" s="251"/>
      <c r="I394" s="207"/>
      <c r="J394" s="262"/>
      <c r="K394" s="205"/>
      <c r="L394" s="197"/>
    </row>
    <row r="395" spans="1:12" ht="17.399999999999999" customHeight="1" x14ac:dyDescent="0.25">
      <c r="A395" s="347"/>
      <c r="B395" s="265"/>
      <c r="C395" s="123" t="s">
        <v>452</v>
      </c>
      <c r="D395" s="248"/>
      <c r="E395" s="49"/>
      <c r="F395" s="14"/>
      <c r="G395" s="251"/>
      <c r="H395" s="251"/>
      <c r="I395" s="207"/>
      <c r="J395" s="262"/>
      <c r="K395" s="205"/>
      <c r="L395" s="197"/>
    </row>
    <row r="396" spans="1:12" ht="17.399999999999999" customHeight="1" thickBot="1" x14ac:dyDescent="0.3">
      <c r="A396" s="348"/>
      <c r="B396" s="266"/>
      <c r="C396" s="77" t="s">
        <v>453</v>
      </c>
      <c r="D396" s="249"/>
      <c r="E396" s="115"/>
      <c r="F396" s="116"/>
      <c r="G396" s="252"/>
      <c r="H396" s="252"/>
      <c r="I396" s="208"/>
      <c r="J396" s="263"/>
      <c r="K396" s="206"/>
      <c r="L396" s="198"/>
    </row>
    <row r="397" spans="1:12" ht="34.950000000000003" customHeight="1" x14ac:dyDescent="0.25">
      <c r="A397" s="258" t="s">
        <v>455</v>
      </c>
      <c r="B397" s="255" t="s">
        <v>472</v>
      </c>
      <c r="C397" s="123" t="s">
        <v>456</v>
      </c>
      <c r="D397" s="338" t="s">
        <v>605</v>
      </c>
      <c r="E397" s="108"/>
      <c r="F397" s="38"/>
      <c r="G397" s="251">
        <v>1</v>
      </c>
      <c r="H397" s="251" t="s">
        <v>595</v>
      </c>
      <c r="I397" s="60"/>
      <c r="J397" s="260"/>
      <c r="K397" s="342">
        <v>950</v>
      </c>
      <c r="L397" s="216">
        <f>K397</f>
        <v>950</v>
      </c>
    </row>
    <row r="398" spans="1:12" ht="17.399999999999999" customHeight="1" x14ac:dyDescent="0.25">
      <c r="A398" s="258"/>
      <c r="B398" s="255"/>
      <c r="C398" s="123" t="s">
        <v>457</v>
      </c>
      <c r="D398" s="338"/>
      <c r="E398" s="49"/>
      <c r="F398" s="14"/>
      <c r="G398" s="251"/>
      <c r="H398" s="251"/>
      <c r="I398" s="15"/>
      <c r="J398" s="207"/>
      <c r="K398" s="343"/>
      <c r="L398" s="197"/>
    </row>
    <row r="399" spans="1:12" ht="17.399999999999999" customHeight="1" x14ac:dyDescent="0.25">
      <c r="A399" s="258"/>
      <c r="B399" s="255"/>
      <c r="C399" s="123" t="s">
        <v>458</v>
      </c>
      <c r="D399" s="338"/>
      <c r="E399" s="49"/>
      <c r="F399" s="14"/>
      <c r="G399" s="251"/>
      <c r="H399" s="251"/>
      <c r="I399" s="15"/>
      <c r="J399" s="207"/>
      <c r="K399" s="343"/>
      <c r="L399" s="197"/>
    </row>
    <row r="400" spans="1:12" ht="17.399999999999999" customHeight="1" x14ac:dyDescent="0.25">
      <c r="A400" s="258"/>
      <c r="B400" s="255"/>
      <c r="C400" s="123" t="s">
        <v>459</v>
      </c>
      <c r="D400" s="338"/>
      <c r="E400" s="49"/>
      <c r="F400" s="14"/>
      <c r="G400" s="251"/>
      <c r="H400" s="251"/>
      <c r="I400" s="15"/>
      <c r="J400" s="207"/>
      <c r="K400" s="343"/>
      <c r="L400" s="197"/>
    </row>
    <row r="401" spans="1:12" ht="17.399999999999999" customHeight="1" x14ac:dyDescent="0.25">
      <c r="A401" s="258"/>
      <c r="B401" s="255"/>
      <c r="C401" s="123" t="s">
        <v>460</v>
      </c>
      <c r="D401" s="338"/>
      <c r="E401" s="49"/>
      <c r="F401" s="14"/>
      <c r="G401" s="251"/>
      <c r="H401" s="251"/>
      <c r="I401" s="15"/>
      <c r="J401" s="207"/>
      <c r="K401" s="343"/>
      <c r="L401" s="197"/>
    </row>
    <row r="402" spans="1:12" ht="17.399999999999999" customHeight="1" x14ac:dyDescent="0.25">
      <c r="A402" s="258"/>
      <c r="B402" s="255"/>
      <c r="C402" s="123" t="s">
        <v>461</v>
      </c>
      <c r="D402" s="338"/>
      <c r="E402" s="49"/>
      <c r="F402" s="14"/>
      <c r="G402" s="251"/>
      <c r="H402" s="251"/>
      <c r="I402" s="15"/>
      <c r="J402" s="207"/>
      <c r="K402" s="343"/>
      <c r="L402" s="197"/>
    </row>
    <row r="403" spans="1:12" ht="17.399999999999999" customHeight="1" x14ac:dyDescent="0.25">
      <c r="A403" s="258"/>
      <c r="B403" s="255"/>
      <c r="C403" s="123" t="s">
        <v>462</v>
      </c>
      <c r="D403" s="338"/>
      <c r="E403" s="49"/>
      <c r="F403" s="14"/>
      <c r="G403" s="251"/>
      <c r="H403" s="251"/>
      <c r="I403" s="15"/>
      <c r="J403" s="207"/>
      <c r="K403" s="343"/>
      <c r="L403" s="197"/>
    </row>
    <row r="404" spans="1:12" ht="17.399999999999999" customHeight="1" x14ac:dyDescent="0.25">
      <c r="A404" s="258"/>
      <c r="B404" s="255"/>
      <c r="C404" s="123" t="s">
        <v>463</v>
      </c>
      <c r="D404" s="338"/>
      <c r="E404" s="49"/>
      <c r="F404" s="14"/>
      <c r="G404" s="251"/>
      <c r="H404" s="251"/>
      <c r="I404" s="15"/>
      <c r="J404" s="207"/>
      <c r="K404" s="343"/>
      <c r="L404" s="197"/>
    </row>
    <row r="405" spans="1:12" ht="17.399999999999999" customHeight="1" x14ac:dyDescent="0.25">
      <c r="A405" s="258"/>
      <c r="B405" s="255"/>
      <c r="C405" s="123" t="s">
        <v>464</v>
      </c>
      <c r="D405" s="338"/>
      <c r="E405" s="49"/>
      <c r="F405" s="14"/>
      <c r="G405" s="251"/>
      <c r="H405" s="251"/>
      <c r="I405" s="15"/>
      <c r="J405" s="207"/>
      <c r="K405" s="343"/>
      <c r="L405" s="197"/>
    </row>
    <row r="406" spans="1:12" ht="17.399999999999999" customHeight="1" x14ac:dyDescent="0.25">
      <c r="A406" s="258"/>
      <c r="B406" s="255"/>
      <c r="C406" s="123" t="s">
        <v>465</v>
      </c>
      <c r="D406" s="338"/>
      <c r="E406" s="49"/>
      <c r="F406" s="14"/>
      <c r="G406" s="251"/>
      <c r="H406" s="251"/>
      <c r="I406" s="15"/>
      <c r="J406" s="207"/>
      <c r="K406" s="343"/>
      <c r="L406" s="197"/>
    </row>
    <row r="407" spans="1:12" ht="17.399999999999999" customHeight="1" x14ac:dyDescent="0.25">
      <c r="A407" s="258"/>
      <c r="B407" s="255"/>
      <c r="C407" s="123" t="s">
        <v>466</v>
      </c>
      <c r="D407" s="338"/>
      <c r="E407" s="49"/>
      <c r="F407" s="14"/>
      <c r="G407" s="251"/>
      <c r="H407" s="251"/>
      <c r="I407" s="15"/>
      <c r="J407" s="207"/>
      <c r="K407" s="343"/>
      <c r="L407" s="197"/>
    </row>
    <row r="408" spans="1:12" ht="17.399999999999999" customHeight="1" x14ac:dyDescent="0.25">
      <c r="A408" s="258"/>
      <c r="B408" s="255"/>
      <c r="C408" s="123" t="s">
        <v>467</v>
      </c>
      <c r="D408" s="338"/>
      <c r="E408" s="49"/>
      <c r="F408" s="14"/>
      <c r="G408" s="251"/>
      <c r="H408" s="251"/>
      <c r="I408" s="15"/>
      <c r="J408" s="207"/>
      <c r="K408" s="343"/>
      <c r="L408" s="197"/>
    </row>
    <row r="409" spans="1:12" ht="17.399999999999999" customHeight="1" x14ac:dyDescent="0.25">
      <c r="A409" s="258"/>
      <c r="B409" s="255"/>
      <c r="C409" s="123" t="s">
        <v>468</v>
      </c>
      <c r="D409" s="338"/>
      <c r="E409" s="49"/>
      <c r="F409" s="14"/>
      <c r="G409" s="251"/>
      <c r="H409" s="251"/>
      <c r="I409" s="15"/>
      <c r="J409" s="207"/>
      <c r="K409" s="343"/>
      <c r="L409" s="197"/>
    </row>
    <row r="410" spans="1:12" ht="17.399999999999999" customHeight="1" thickBot="1" x14ac:dyDescent="0.3">
      <c r="A410" s="259"/>
      <c r="B410" s="256"/>
      <c r="C410" s="77" t="s">
        <v>469</v>
      </c>
      <c r="D410" s="339"/>
      <c r="E410" s="115"/>
      <c r="F410" s="116"/>
      <c r="G410" s="252"/>
      <c r="H410" s="252"/>
      <c r="I410" s="117"/>
      <c r="J410" s="208"/>
      <c r="K410" s="344"/>
      <c r="L410" s="198"/>
    </row>
    <row r="411" spans="1:12" ht="193.8" customHeight="1" thickBot="1" x14ac:dyDescent="0.3">
      <c r="A411" s="157" t="s">
        <v>455</v>
      </c>
      <c r="B411" s="40" t="s">
        <v>472</v>
      </c>
      <c r="C411" s="123"/>
      <c r="D411" s="158" t="s">
        <v>606</v>
      </c>
      <c r="E411" s="170"/>
      <c r="F411" s="156"/>
      <c r="G411" s="156">
        <v>1</v>
      </c>
      <c r="H411" s="156" t="s">
        <v>595</v>
      </c>
      <c r="I411" s="160"/>
      <c r="J411" s="160"/>
      <c r="K411" s="168">
        <v>2500</v>
      </c>
      <c r="L411" s="159">
        <f>K411</f>
        <v>2500</v>
      </c>
    </row>
    <row r="412" spans="1:12" ht="34.950000000000003" customHeight="1" x14ac:dyDescent="0.25">
      <c r="A412" s="257" t="s">
        <v>470</v>
      </c>
      <c r="B412" s="254" t="s">
        <v>471</v>
      </c>
      <c r="C412" s="79" t="s">
        <v>473</v>
      </c>
      <c r="D412" s="247" t="s">
        <v>485</v>
      </c>
      <c r="E412" s="109"/>
      <c r="F412" s="110"/>
      <c r="G412" s="253">
        <v>1</v>
      </c>
      <c r="H412" s="253" t="s">
        <v>595</v>
      </c>
      <c r="I412" s="111"/>
      <c r="J412" s="260"/>
      <c r="K412" s="345">
        <v>3000</v>
      </c>
      <c r="L412" s="216">
        <f>K412</f>
        <v>3000</v>
      </c>
    </row>
    <row r="413" spans="1:12" ht="17.399999999999999" customHeight="1" x14ac:dyDescent="0.25">
      <c r="A413" s="258"/>
      <c r="B413" s="255"/>
      <c r="C413" s="121" t="s">
        <v>474</v>
      </c>
      <c r="D413" s="248"/>
      <c r="E413" s="49"/>
      <c r="F413" s="14"/>
      <c r="G413" s="251"/>
      <c r="H413" s="251"/>
      <c r="I413" s="15"/>
      <c r="J413" s="207"/>
      <c r="K413" s="205"/>
      <c r="L413" s="197"/>
    </row>
    <row r="414" spans="1:12" ht="17.399999999999999" customHeight="1" x14ac:dyDescent="0.25">
      <c r="A414" s="258"/>
      <c r="B414" s="255"/>
      <c r="C414" s="121" t="s">
        <v>475</v>
      </c>
      <c r="D414" s="248"/>
      <c r="E414" s="49"/>
      <c r="F414" s="14"/>
      <c r="G414" s="251"/>
      <c r="H414" s="251"/>
      <c r="I414" s="15"/>
      <c r="J414" s="207"/>
      <c r="K414" s="205"/>
      <c r="L414" s="197"/>
    </row>
    <row r="415" spans="1:12" ht="17.399999999999999" customHeight="1" x14ac:dyDescent="0.25">
      <c r="A415" s="258"/>
      <c r="B415" s="255"/>
      <c r="C415" s="121" t="s">
        <v>476</v>
      </c>
      <c r="D415" s="248"/>
      <c r="E415" s="49"/>
      <c r="F415" s="14"/>
      <c r="G415" s="251"/>
      <c r="H415" s="251"/>
      <c r="I415" s="15"/>
      <c r="J415" s="207"/>
      <c r="K415" s="205"/>
      <c r="L415" s="197"/>
    </row>
    <row r="416" spans="1:12" ht="17.399999999999999" customHeight="1" x14ac:dyDescent="0.25">
      <c r="A416" s="258"/>
      <c r="B416" s="255"/>
      <c r="C416" s="121" t="s">
        <v>477</v>
      </c>
      <c r="D416" s="248"/>
      <c r="E416" s="49"/>
      <c r="F416" s="14"/>
      <c r="G416" s="251"/>
      <c r="H416" s="251"/>
      <c r="I416" s="15"/>
      <c r="J416" s="207"/>
      <c r="K416" s="205"/>
      <c r="L416" s="197"/>
    </row>
    <row r="417" spans="1:12" ht="17.399999999999999" customHeight="1" x14ac:dyDescent="0.25">
      <c r="A417" s="258"/>
      <c r="B417" s="255"/>
      <c r="C417" s="121" t="s">
        <v>478</v>
      </c>
      <c r="D417" s="248"/>
      <c r="E417" s="49"/>
      <c r="F417" s="14"/>
      <c r="G417" s="251"/>
      <c r="H417" s="251"/>
      <c r="I417" s="15"/>
      <c r="J417" s="207"/>
      <c r="K417" s="205"/>
      <c r="L417" s="197"/>
    </row>
    <row r="418" spans="1:12" ht="17.399999999999999" customHeight="1" x14ac:dyDescent="0.25">
      <c r="A418" s="258"/>
      <c r="B418" s="255"/>
      <c r="C418" s="121" t="s">
        <v>479</v>
      </c>
      <c r="D418" s="248"/>
      <c r="E418" s="49"/>
      <c r="F418" s="14"/>
      <c r="G418" s="251"/>
      <c r="H418" s="251"/>
      <c r="I418" s="15"/>
      <c r="J418" s="207"/>
      <c r="K418" s="205"/>
      <c r="L418" s="197"/>
    </row>
    <row r="419" spans="1:12" ht="17.399999999999999" customHeight="1" x14ac:dyDescent="0.25">
      <c r="A419" s="258"/>
      <c r="B419" s="255"/>
      <c r="C419" s="121" t="s">
        <v>480</v>
      </c>
      <c r="D419" s="248"/>
      <c r="E419" s="49"/>
      <c r="F419" s="14"/>
      <c r="G419" s="251"/>
      <c r="H419" s="251"/>
      <c r="I419" s="15"/>
      <c r="J419" s="207"/>
      <c r="K419" s="205"/>
      <c r="L419" s="197"/>
    </row>
    <row r="420" spans="1:12" ht="17.399999999999999" customHeight="1" x14ac:dyDescent="0.25">
      <c r="A420" s="258"/>
      <c r="B420" s="255"/>
      <c r="C420" s="121" t="s">
        <v>481</v>
      </c>
      <c r="D420" s="248"/>
      <c r="E420" s="49"/>
      <c r="F420" s="14"/>
      <c r="G420" s="251"/>
      <c r="H420" s="251"/>
      <c r="I420" s="15"/>
      <c r="J420" s="207"/>
      <c r="K420" s="205"/>
      <c r="L420" s="197"/>
    </row>
    <row r="421" spans="1:12" ht="17.399999999999999" customHeight="1" x14ac:dyDescent="0.25">
      <c r="A421" s="258"/>
      <c r="B421" s="255"/>
      <c r="C421" s="121" t="s">
        <v>482</v>
      </c>
      <c r="D421" s="248"/>
      <c r="E421" s="49"/>
      <c r="F421" s="14"/>
      <c r="G421" s="251"/>
      <c r="H421" s="251"/>
      <c r="I421" s="15"/>
      <c r="J421" s="207"/>
      <c r="K421" s="205"/>
      <c r="L421" s="197"/>
    </row>
    <row r="422" spans="1:12" ht="17.399999999999999" customHeight="1" x14ac:dyDescent="0.25">
      <c r="A422" s="258"/>
      <c r="B422" s="255"/>
      <c r="C422" s="121" t="s">
        <v>483</v>
      </c>
      <c r="D422" s="248"/>
      <c r="E422" s="49"/>
      <c r="F422" s="14"/>
      <c r="G422" s="251"/>
      <c r="H422" s="251"/>
      <c r="I422" s="15"/>
      <c r="J422" s="207"/>
      <c r="K422" s="205"/>
      <c r="L422" s="197"/>
    </row>
    <row r="423" spans="1:12" ht="17.399999999999999" customHeight="1" thickBot="1" x14ac:dyDescent="0.3">
      <c r="A423" s="259"/>
      <c r="B423" s="256"/>
      <c r="C423" s="78" t="s">
        <v>484</v>
      </c>
      <c r="D423" s="249"/>
      <c r="E423" s="115"/>
      <c r="F423" s="116"/>
      <c r="G423" s="252"/>
      <c r="H423" s="252"/>
      <c r="I423" s="117"/>
      <c r="J423" s="208"/>
      <c r="K423" s="206"/>
      <c r="L423" s="198"/>
    </row>
    <row r="424" spans="1:12" ht="34.950000000000003" customHeight="1" x14ac:dyDescent="0.25">
      <c r="A424" s="257" t="s">
        <v>486</v>
      </c>
      <c r="B424" s="254" t="s">
        <v>487</v>
      </c>
      <c r="C424" s="85" t="s">
        <v>488</v>
      </c>
      <c r="D424" s="247" t="s">
        <v>529</v>
      </c>
      <c r="E424" s="109"/>
      <c r="F424" s="110"/>
      <c r="G424" s="253">
        <v>1</v>
      </c>
      <c r="H424" s="253" t="s">
        <v>595</v>
      </c>
      <c r="I424" s="111"/>
      <c r="J424" s="260"/>
      <c r="K424" s="345">
        <v>12000</v>
      </c>
      <c r="L424" s="359">
        <f>K424</f>
        <v>12000</v>
      </c>
    </row>
    <row r="425" spans="1:12" ht="17.399999999999999" customHeight="1" x14ac:dyDescent="0.25">
      <c r="A425" s="258"/>
      <c r="B425" s="255"/>
      <c r="C425" s="106" t="s">
        <v>489</v>
      </c>
      <c r="D425" s="248"/>
      <c r="E425" s="49"/>
      <c r="F425" s="14"/>
      <c r="G425" s="251"/>
      <c r="H425" s="251"/>
      <c r="I425" s="15"/>
      <c r="J425" s="207"/>
      <c r="K425" s="205"/>
      <c r="L425" s="360"/>
    </row>
    <row r="426" spans="1:12" ht="17.399999999999999" customHeight="1" x14ac:dyDescent="0.25">
      <c r="A426" s="258"/>
      <c r="B426" s="255"/>
      <c r="C426" s="106" t="s">
        <v>490</v>
      </c>
      <c r="D426" s="248"/>
      <c r="E426" s="49"/>
      <c r="F426" s="14"/>
      <c r="G426" s="251"/>
      <c r="H426" s="251"/>
      <c r="I426" s="15"/>
      <c r="J426" s="207"/>
      <c r="K426" s="205"/>
      <c r="L426" s="360"/>
    </row>
    <row r="427" spans="1:12" ht="17.399999999999999" customHeight="1" x14ac:dyDescent="0.25">
      <c r="A427" s="258"/>
      <c r="B427" s="255"/>
      <c r="C427" s="106" t="s">
        <v>491</v>
      </c>
      <c r="D427" s="248"/>
      <c r="E427" s="49"/>
      <c r="F427" s="14"/>
      <c r="G427" s="251"/>
      <c r="H427" s="251"/>
      <c r="I427" s="15"/>
      <c r="J427" s="207"/>
      <c r="K427" s="205"/>
      <c r="L427" s="360"/>
    </row>
    <row r="428" spans="1:12" ht="17.399999999999999" customHeight="1" x14ac:dyDescent="0.25">
      <c r="A428" s="258"/>
      <c r="B428" s="255"/>
      <c r="C428" s="106" t="s">
        <v>492</v>
      </c>
      <c r="D428" s="248"/>
      <c r="E428" s="49"/>
      <c r="F428" s="14"/>
      <c r="G428" s="251"/>
      <c r="H428" s="251"/>
      <c r="I428" s="15"/>
      <c r="J428" s="207"/>
      <c r="K428" s="205"/>
      <c r="L428" s="360"/>
    </row>
    <row r="429" spans="1:12" ht="17.399999999999999" customHeight="1" x14ac:dyDescent="0.25">
      <c r="A429" s="258"/>
      <c r="B429" s="255"/>
      <c r="C429" s="106" t="s">
        <v>493</v>
      </c>
      <c r="D429" s="248"/>
      <c r="E429" s="49"/>
      <c r="F429" s="14"/>
      <c r="G429" s="251"/>
      <c r="H429" s="251"/>
      <c r="I429" s="15"/>
      <c r="J429" s="207"/>
      <c r="K429" s="205"/>
      <c r="L429" s="360"/>
    </row>
    <row r="430" spans="1:12" ht="17.399999999999999" customHeight="1" x14ac:dyDescent="0.25">
      <c r="A430" s="258"/>
      <c r="B430" s="255"/>
      <c r="C430" s="106" t="s">
        <v>494</v>
      </c>
      <c r="D430" s="248"/>
      <c r="E430" s="49"/>
      <c r="F430" s="14"/>
      <c r="G430" s="251"/>
      <c r="H430" s="251"/>
      <c r="I430" s="15"/>
      <c r="J430" s="207"/>
      <c r="K430" s="205"/>
      <c r="L430" s="360"/>
    </row>
    <row r="431" spans="1:12" ht="17.399999999999999" customHeight="1" x14ac:dyDescent="0.25">
      <c r="A431" s="258"/>
      <c r="B431" s="255"/>
      <c r="C431" s="106" t="s">
        <v>495</v>
      </c>
      <c r="D431" s="248"/>
      <c r="E431" s="49"/>
      <c r="F431" s="14"/>
      <c r="G431" s="251"/>
      <c r="H431" s="251"/>
      <c r="I431" s="15"/>
      <c r="J431" s="207"/>
      <c r="K431" s="205"/>
      <c r="L431" s="360"/>
    </row>
    <row r="432" spans="1:12" ht="17.399999999999999" customHeight="1" x14ac:dyDescent="0.25">
      <c r="A432" s="258"/>
      <c r="B432" s="255"/>
      <c r="C432" s="106" t="s">
        <v>496</v>
      </c>
      <c r="D432" s="248"/>
      <c r="E432" s="49"/>
      <c r="F432" s="14"/>
      <c r="G432" s="251"/>
      <c r="H432" s="251"/>
      <c r="I432" s="15"/>
      <c r="J432" s="207"/>
      <c r="K432" s="205"/>
      <c r="L432" s="360"/>
    </row>
    <row r="433" spans="1:12" ht="17.399999999999999" customHeight="1" x14ac:dyDescent="0.25">
      <c r="A433" s="258"/>
      <c r="B433" s="255"/>
      <c r="C433" s="106" t="s">
        <v>497</v>
      </c>
      <c r="D433" s="248"/>
      <c r="E433" s="49"/>
      <c r="F433" s="14"/>
      <c r="G433" s="251"/>
      <c r="H433" s="251"/>
      <c r="I433" s="15"/>
      <c r="J433" s="207"/>
      <c r="K433" s="205"/>
      <c r="L433" s="360"/>
    </row>
    <row r="434" spans="1:12" ht="17.399999999999999" customHeight="1" x14ac:dyDescent="0.25">
      <c r="A434" s="258"/>
      <c r="B434" s="255"/>
      <c r="C434" s="106" t="s">
        <v>498</v>
      </c>
      <c r="D434" s="248"/>
      <c r="E434" s="49"/>
      <c r="F434" s="14"/>
      <c r="G434" s="251"/>
      <c r="H434" s="251"/>
      <c r="I434" s="15"/>
      <c r="J434" s="207"/>
      <c r="K434" s="205"/>
      <c r="L434" s="360"/>
    </row>
    <row r="435" spans="1:12" ht="17.399999999999999" customHeight="1" x14ac:dyDescent="0.25">
      <c r="A435" s="258"/>
      <c r="B435" s="255"/>
      <c r="C435" s="106" t="s">
        <v>499</v>
      </c>
      <c r="D435" s="248"/>
      <c r="E435" s="49"/>
      <c r="F435" s="14"/>
      <c r="G435" s="251"/>
      <c r="H435" s="251"/>
      <c r="I435" s="15"/>
      <c r="J435" s="207"/>
      <c r="K435" s="205"/>
      <c r="L435" s="360"/>
    </row>
    <row r="436" spans="1:12" ht="17.399999999999999" customHeight="1" x14ac:dyDescent="0.25">
      <c r="A436" s="258"/>
      <c r="B436" s="255"/>
      <c r="C436" s="106" t="s">
        <v>500</v>
      </c>
      <c r="D436" s="248"/>
      <c r="E436" s="49"/>
      <c r="F436" s="14"/>
      <c r="G436" s="251"/>
      <c r="H436" s="251"/>
      <c r="I436" s="15"/>
      <c r="J436" s="207"/>
      <c r="K436" s="205"/>
      <c r="L436" s="360"/>
    </row>
    <row r="437" spans="1:12" ht="17.399999999999999" customHeight="1" x14ac:dyDescent="0.25">
      <c r="A437" s="258"/>
      <c r="B437" s="255"/>
      <c r="C437" s="106" t="s">
        <v>501</v>
      </c>
      <c r="D437" s="248"/>
      <c r="E437" s="49"/>
      <c r="F437" s="14"/>
      <c r="G437" s="251"/>
      <c r="H437" s="251"/>
      <c r="I437" s="15"/>
      <c r="J437" s="207"/>
      <c r="K437" s="205"/>
      <c r="L437" s="360"/>
    </row>
    <row r="438" spans="1:12" ht="17.399999999999999" customHeight="1" x14ac:dyDescent="0.25">
      <c r="A438" s="258"/>
      <c r="B438" s="255"/>
      <c r="C438" s="106" t="s">
        <v>502</v>
      </c>
      <c r="D438" s="248"/>
      <c r="E438" s="49"/>
      <c r="F438" s="14"/>
      <c r="G438" s="251"/>
      <c r="H438" s="251"/>
      <c r="I438" s="15"/>
      <c r="J438" s="207"/>
      <c r="K438" s="205"/>
      <c r="L438" s="360"/>
    </row>
    <row r="439" spans="1:12" ht="19.2" customHeight="1" x14ac:dyDescent="0.25">
      <c r="A439" s="258"/>
      <c r="B439" s="255"/>
      <c r="C439" s="106" t="s">
        <v>503</v>
      </c>
      <c r="D439" s="248"/>
      <c r="E439" s="49"/>
      <c r="F439" s="14"/>
      <c r="G439" s="251"/>
      <c r="H439" s="251"/>
      <c r="I439" s="15"/>
      <c r="J439" s="207"/>
      <c r="K439" s="205"/>
      <c r="L439" s="360"/>
    </row>
    <row r="440" spans="1:12" ht="19.2" customHeight="1" x14ac:dyDescent="0.25">
      <c r="A440" s="258"/>
      <c r="B440" s="255"/>
      <c r="C440" s="106" t="s">
        <v>504</v>
      </c>
      <c r="D440" s="248"/>
      <c r="E440" s="49"/>
      <c r="F440" s="14"/>
      <c r="G440" s="251"/>
      <c r="H440" s="251"/>
      <c r="I440" s="15"/>
      <c r="J440" s="207"/>
      <c r="K440" s="205"/>
      <c r="L440" s="360"/>
    </row>
    <row r="441" spans="1:12" ht="19.2" customHeight="1" x14ac:dyDescent="0.25">
      <c r="A441" s="258"/>
      <c r="B441" s="255"/>
      <c r="C441" s="106" t="s">
        <v>505</v>
      </c>
      <c r="D441" s="248"/>
      <c r="E441" s="49"/>
      <c r="F441" s="14"/>
      <c r="G441" s="251"/>
      <c r="H441" s="251"/>
      <c r="I441" s="15"/>
      <c r="J441" s="207"/>
      <c r="K441" s="205"/>
      <c r="L441" s="360"/>
    </row>
    <row r="442" spans="1:12" ht="19.2" customHeight="1" x14ac:dyDescent="0.25">
      <c r="A442" s="258"/>
      <c r="B442" s="255"/>
      <c r="C442" s="122" t="s">
        <v>506</v>
      </c>
      <c r="D442" s="248"/>
      <c r="E442" s="49"/>
      <c r="F442" s="14"/>
      <c r="G442" s="251"/>
      <c r="H442" s="251"/>
      <c r="I442" s="15"/>
      <c r="J442" s="207"/>
      <c r="K442" s="205"/>
      <c r="L442" s="360"/>
    </row>
    <row r="443" spans="1:12" ht="19.2" customHeight="1" x14ac:dyDescent="0.25">
      <c r="A443" s="258"/>
      <c r="B443" s="255"/>
      <c r="C443" s="106" t="s">
        <v>507</v>
      </c>
      <c r="D443" s="248"/>
      <c r="E443" s="49"/>
      <c r="F443" s="14"/>
      <c r="G443" s="251"/>
      <c r="H443" s="251"/>
      <c r="I443" s="15"/>
      <c r="J443" s="207"/>
      <c r="K443" s="205"/>
      <c r="L443" s="360"/>
    </row>
    <row r="444" spans="1:12" ht="19.2" customHeight="1" x14ac:dyDescent="0.25">
      <c r="A444" s="258"/>
      <c r="B444" s="255"/>
      <c r="C444" s="106" t="s">
        <v>508</v>
      </c>
      <c r="D444" s="248"/>
      <c r="E444" s="49"/>
      <c r="F444" s="14"/>
      <c r="G444" s="251"/>
      <c r="H444" s="251"/>
      <c r="I444" s="15"/>
      <c r="J444" s="207"/>
      <c r="K444" s="205"/>
      <c r="L444" s="360"/>
    </row>
    <row r="445" spans="1:12" ht="19.2" customHeight="1" x14ac:dyDescent="0.25">
      <c r="A445" s="258"/>
      <c r="B445" s="255"/>
      <c r="C445" s="106" t="s">
        <v>509</v>
      </c>
      <c r="D445" s="248"/>
      <c r="E445" s="49"/>
      <c r="F445" s="14"/>
      <c r="G445" s="251"/>
      <c r="H445" s="251"/>
      <c r="I445" s="15"/>
      <c r="J445" s="207"/>
      <c r="K445" s="205"/>
      <c r="L445" s="360"/>
    </row>
    <row r="446" spans="1:12" ht="19.2" customHeight="1" x14ac:dyDescent="0.25">
      <c r="A446" s="258"/>
      <c r="B446" s="255"/>
      <c r="C446" s="106" t="s">
        <v>510</v>
      </c>
      <c r="D446" s="248"/>
      <c r="E446" s="49"/>
      <c r="F446" s="14"/>
      <c r="G446" s="251"/>
      <c r="H446" s="251"/>
      <c r="I446" s="15"/>
      <c r="J446" s="207"/>
      <c r="K446" s="205"/>
      <c r="L446" s="360"/>
    </row>
    <row r="447" spans="1:12" ht="19.2" customHeight="1" x14ac:dyDescent="0.25">
      <c r="A447" s="258"/>
      <c r="B447" s="255"/>
      <c r="C447" s="106" t="s">
        <v>511</v>
      </c>
      <c r="D447" s="248"/>
      <c r="E447" s="49"/>
      <c r="F447" s="14"/>
      <c r="G447" s="251"/>
      <c r="H447" s="251"/>
      <c r="I447" s="15"/>
      <c r="J447" s="207"/>
      <c r="K447" s="205"/>
      <c r="L447" s="360"/>
    </row>
    <row r="448" spans="1:12" ht="19.2" customHeight="1" x14ac:dyDescent="0.25">
      <c r="A448" s="258"/>
      <c r="B448" s="255"/>
      <c r="C448" s="106" t="s">
        <v>512</v>
      </c>
      <c r="D448" s="248"/>
      <c r="E448" s="49"/>
      <c r="F448" s="14"/>
      <c r="G448" s="251"/>
      <c r="H448" s="251"/>
      <c r="I448" s="15"/>
      <c r="J448" s="207"/>
      <c r="K448" s="205"/>
      <c r="L448" s="360"/>
    </row>
    <row r="449" spans="1:12" ht="19.2" customHeight="1" x14ac:dyDescent="0.25">
      <c r="A449" s="258"/>
      <c r="B449" s="255"/>
      <c r="C449" s="106" t="s">
        <v>513</v>
      </c>
      <c r="D449" s="248"/>
      <c r="E449" s="49"/>
      <c r="F449" s="14"/>
      <c r="G449" s="251"/>
      <c r="H449" s="251"/>
      <c r="I449" s="15"/>
      <c r="J449" s="207"/>
      <c r="K449" s="205"/>
      <c r="L449" s="360"/>
    </row>
    <row r="450" spans="1:12" ht="19.2" customHeight="1" x14ac:dyDescent="0.25">
      <c r="A450" s="258"/>
      <c r="B450" s="255"/>
      <c r="C450" s="106" t="s">
        <v>514</v>
      </c>
      <c r="D450" s="248"/>
      <c r="E450" s="49"/>
      <c r="F450" s="14"/>
      <c r="G450" s="251"/>
      <c r="H450" s="251"/>
      <c r="I450" s="15"/>
      <c r="J450" s="207"/>
      <c r="K450" s="205"/>
      <c r="L450" s="360"/>
    </row>
    <row r="451" spans="1:12" ht="19.2" customHeight="1" x14ac:dyDescent="0.25">
      <c r="A451" s="258"/>
      <c r="B451" s="255"/>
      <c r="C451" s="106" t="s">
        <v>515</v>
      </c>
      <c r="D451" s="248"/>
      <c r="E451" s="49"/>
      <c r="F451" s="14"/>
      <c r="G451" s="251"/>
      <c r="H451" s="251"/>
      <c r="I451" s="15"/>
      <c r="J451" s="207"/>
      <c r="K451" s="205"/>
      <c r="L451" s="360"/>
    </row>
    <row r="452" spans="1:12" ht="19.2" customHeight="1" x14ac:dyDescent="0.25">
      <c r="A452" s="258"/>
      <c r="B452" s="255"/>
      <c r="C452" s="106" t="s">
        <v>516</v>
      </c>
      <c r="D452" s="248"/>
      <c r="E452" s="49"/>
      <c r="F452" s="14"/>
      <c r="G452" s="251"/>
      <c r="H452" s="251"/>
      <c r="I452" s="15"/>
      <c r="J452" s="207"/>
      <c r="K452" s="205"/>
      <c r="L452" s="360"/>
    </row>
    <row r="453" spans="1:12" ht="19.2" customHeight="1" x14ac:dyDescent="0.25">
      <c r="A453" s="258"/>
      <c r="B453" s="255"/>
      <c r="C453" s="106" t="s">
        <v>517</v>
      </c>
      <c r="D453" s="248"/>
      <c r="E453" s="49"/>
      <c r="F453" s="14"/>
      <c r="G453" s="251"/>
      <c r="H453" s="251"/>
      <c r="I453" s="15"/>
      <c r="J453" s="207"/>
      <c r="K453" s="205"/>
      <c r="L453" s="360"/>
    </row>
    <row r="454" spans="1:12" ht="19.2" customHeight="1" x14ac:dyDescent="0.25">
      <c r="A454" s="258"/>
      <c r="B454" s="255"/>
      <c r="C454" s="106" t="s">
        <v>518</v>
      </c>
      <c r="D454" s="248"/>
      <c r="E454" s="49"/>
      <c r="F454" s="14"/>
      <c r="G454" s="251"/>
      <c r="H454" s="251"/>
      <c r="I454" s="15"/>
      <c r="J454" s="207"/>
      <c r="K454" s="205"/>
      <c r="L454" s="360"/>
    </row>
    <row r="455" spans="1:12" ht="19.2" customHeight="1" x14ac:dyDescent="0.25">
      <c r="A455" s="258"/>
      <c r="B455" s="255"/>
      <c r="C455" s="106" t="s">
        <v>519</v>
      </c>
      <c r="D455" s="248"/>
      <c r="E455" s="49"/>
      <c r="F455" s="14"/>
      <c r="G455" s="251"/>
      <c r="H455" s="251"/>
      <c r="I455" s="15"/>
      <c r="J455" s="207"/>
      <c r="K455" s="205"/>
      <c r="L455" s="360"/>
    </row>
    <row r="456" spans="1:12" ht="19.2" customHeight="1" x14ac:dyDescent="0.25">
      <c r="A456" s="258"/>
      <c r="B456" s="255"/>
      <c r="C456" s="106" t="s">
        <v>520</v>
      </c>
      <c r="D456" s="248"/>
      <c r="E456" s="49"/>
      <c r="F456" s="14"/>
      <c r="G456" s="251"/>
      <c r="H456" s="251"/>
      <c r="I456" s="15"/>
      <c r="J456" s="207"/>
      <c r="K456" s="205"/>
      <c r="L456" s="360"/>
    </row>
    <row r="457" spans="1:12" ht="19.2" customHeight="1" x14ac:dyDescent="0.25">
      <c r="A457" s="258"/>
      <c r="B457" s="255"/>
      <c r="C457" s="106" t="s">
        <v>521</v>
      </c>
      <c r="D457" s="248"/>
      <c r="E457" s="49"/>
      <c r="F457" s="14"/>
      <c r="G457" s="251"/>
      <c r="H457" s="251"/>
      <c r="I457" s="15"/>
      <c r="J457" s="207"/>
      <c r="K457" s="205"/>
      <c r="L457" s="360"/>
    </row>
    <row r="458" spans="1:12" ht="19.2" customHeight="1" x14ac:dyDescent="0.25">
      <c r="A458" s="258"/>
      <c r="B458" s="255"/>
      <c r="C458" s="122" t="s">
        <v>522</v>
      </c>
      <c r="D458" s="248"/>
      <c r="E458" s="49"/>
      <c r="F458" s="14"/>
      <c r="G458" s="251"/>
      <c r="H458" s="251"/>
      <c r="I458" s="15"/>
      <c r="J458" s="207"/>
      <c r="K458" s="205"/>
      <c r="L458" s="360"/>
    </row>
    <row r="459" spans="1:12" ht="19.2" customHeight="1" x14ac:dyDescent="0.25">
      <c r="A459" s="258"/>
      <c r="B459" s="255"/>
      <c r="C459" s="106" t="s">
        <v>523</v>
      </c>
      <c r="D459" s="248"/>
      <c r="E459" s="49"/>
      <c r="F459" s="14"/>
      <c r="G459" s="251"/>
      <c r="H459" s="251"/>
      <c r="I459" s="15"/>
      <c r="J459" s="207"/>
      <c r="K459" s="205"/>
      <c r="L459" s="360"/>
    </row>
    <row r="460" spans="1:12" ht="19.2" customHeight="1" x14ac:dyDescent="0.25">
      <c r="A460" s="258"/>
      <c r="B460" s="255"/>
      <c r="C460" s="106" t="s">
        <v>524</v>
      </c>
      <c r="D460" s="248"/>
      <c r="E460" s="49"/>
      <c r="F460" s="14"/>
      <c r="G460" s="251"/>
      <c r="H460" s="251"/>
      <c r="I460" s="15"/>
      <c r="J460" s="207"/>
      <c r="K460" s="205"/>
      <c r="L460" s="360"/>
    </row>
    <row r="461" spans="1:12" ht="19.2" customHeight="1" x14ac:dyDescent="0.25">
      <c r="A461" s="258"/>
      <c r="B461" s="255"/>
      <c r="C461" s="106" t="s">
        <v>525</v>
      </c>
      <c r="D461" s="248"/>
      <c r="E461" s="49"/>
      <c r="F461" s="14"/>
      <c r="G461" s="251"/>
      <c r="H461" s="251"/>
      <c r="I461" s="15"/>
      <c r="J461" s="207"/>
      <c r="K461" s="205"/>
      <c r="L461" s="360"/>
    </row>
    <row r="462" spans="1:12" ht="19.2" customHeight="1" x14ac:dyDescent="0.25">
      <c r="A462" s="258"/>
      <c r="B462" s="255"/>
      <c r="C462" s="106" t="s">
        <v>526</v>
      </c>
      <c r="D462" s="248"/>
      <c r="E462" s="49"/>
      <c r="F462" s="14"/>
      <c r="G462" s="251"/>
      <c r="H462" s="251"/>
      <c r="I462" s="15"/>
      <c r="J462" s="207"/>
      <c r="K462" s="205"/>
      <c r="L462" s="360"/>
    </row>
    <row r="463" spans="1:12" ht="19.2" customHeight="1" x14ac:dyDescent="0.25">
      <c r="A463" s="258"/>
      <c r="B463" s="255"/>
      <c r="C463" s="106" t="s">
        <v>527</v>
      </c>
      <c r="D463" s="248"/>
      <c r="E463" s="49"/>
      <c r="F463" s="14"/>
      <c r="G463" s="251"/>
      <c r="H463" s="251"/>
      <c r="I463" s="15"/>
      <c r="J463" s="207"/>
      <c r="K463" s="205"/>
      <c r="L463" s="360"/>
    </row>
    <row r="464" spans="1:12" ht="19.2" customHeight="1" thickBot="1" x14ac:dyDescent="0.3">
      <c r="A464" s="259"/>
      <c r="B464" s="256"/>
      <c r="C464" s="86" t="s">
        <v>528</v>
      </c>
      <c r="D464" s="249"/>
      <c r="E464" s="115"/>
      <c r="F464" s="116"/>
      <c r="G464" s="252"/>
      <c r="H464" s="252"/>
      <c r="I464" s="117"/>
      <c r="J464" s="208"/>
      <c r="K464" s="206"/>
      <c r="L464" s="361"/>
    </row>
    <row r="465" spans="1:12" ht="19.2" customHeight="1" x14ac:dyDescent="0.3">
      <c r="A465" s="257" t="s">
        <v>530</v>
      </c>
      <c r="B465" s="254" t="s">
        <v>531</v>
      </c>
      <c r="C465" s="87" t="s">
        <v>532</v>
      </c>
      <c r="D465" s="247" t="s">
        <v>551</v>
      </c>
      <c r="E465" s="109"/>
      <c r="F465" s="110"/>
      <c r="G465" s="253">
        <v>2</v>
      </c>
      <c r="H465" s="253" t="s">
        <v>595</v>
      </c>
      <c r="I465" s="111"/>
      <c r="J465" s="261">
        <v>185</v>
      </c>
      <c r="K465" s="345">
        <f>J465*G465*L10</f>
        <v>16834.296999999999</v>
      </c>
      <c r="L465" s="362">
        <f>K465</f>
        <v>16834.296999999999</v>
      </c>
    </row>
    <row r="466" spans="1:12" ht="19.2" customHeight="1" x14ac:dyDescent="0.3">
      <c r="A466" s="258"/>
      <c r="B466" s="255"/>
      <c r="C466" t="s">
        <v>533</v>
      </c>
      <c r="D466" s="248"/>
      <c r="E466" s="49"/>
      <c r="F466" s="14"/>
      <c r="G466" s="251"/>
      <c r="H466" s="251"/>
      <c r="I466" s="15"/>
      <c r="J466" s="262"/>
      <c r="K466" s="205"/>
      <c r="L466" s="363"/>
    </row>
    <row r="467" spans="1:12" ht="19.2" customHeight="1" x14ac:dyDescent="0.3">
      <c r="A467" s="258"/>
      <c r="B467" s="255"/>
      <c r="C467" t="s">
        <v>534</v>
      </c>
      <c r="D467" s="248"/>
      <c r="E467" s="49"/>
      <c r="F467" s="14"/>
      <c r="G467" s="251"/>
      <c r="H467" s="251"/>
      <c r="I467" s="15"/>
      <c r="J467" s="262"/>
      <c r="K467" s="205"/>
      <c r="L467" s="363"/>
    </row>
    <row r="468" spans="1:12" ht="19.2" customHeight="1" x14ac:dyDescent="0.3">
      <c r="A468" s="258"/>
      <c r="B468" s="255"/>
      <c r="C468" t="s">
        <v>535</v>
      </c>
      <c r="D468" s="248"/>
      <c r="E468" s="49"/>
      <c r="F468" s="14"/>
      <c r="G468" s="251"/>
      <c r="H468" s="251"/>
      <c r="I468" s="15"/>
      <c r="J468" s="262"/>
      <c r="K468" s="205"/>
      <c r="L468" s="363"/>
    </row>
    <row r="469" spans="1:12" ht="19.2" customHeight="1" x14ac:dyDescent="0.3">
      <c r="A469" s="258"/>
      <c r="B469" s="255"/>
      <c r="C469" t="s">
        <v>536</v>
      </c>
      <c r="D469" s="248"/>
      <c r="E469" s="49"/>
      <c r="F469" s="14"/>
      <c r="G469" s="251"/>
      <c r="H469" s="251"/>
      <c r="I469" s="15"/>
      <c r="J469" s="262"/>
      <c r="K469" s="205"/>
      <c r="L469" s="363"/>
    </row>
    <row r="470" spans="1:12" ht="19.2" customHeight="1" x14ac:dyDescent="0.3">
      <c r="A470" s="258"/>
      <c r="B470" s="255"/>
      <c r="C470" t="s">
        <v>537</v>
      </c>
      <c r="D470" s="248"/>
      <c r="E470" s="49"/>
      <c r="F470" s="14"/>
      <c r="G470" s="251"/>
      <c r="H470" s="251"/>
      <c r="I470" s="15"/>
      <c r="J470" s="262"/>
      <c r="K470" s="205"/>
      <c r="L470" s="363"/>
    </row>
    <row r="471" spans="1:12" ht="19.2" customHeight="1" x14ac:dyDescent="0.3">
      <c r="A471" s="258"/>
      <c r="B471" s="255"/>
      <c r="C471" t="s">
        <v>538</v>
      </c>
      <c r="D471" s="248"/>
      <c r="E471" s="49"/>
      <c r="F471" s="14"/>
      <c r="G471" s="251"/>
      <c r="H471" s="251"/>
      <c r="I471" s="15"/>
      <c r="J471" s="262"/>
      <c r="K471" s="205"/>
      <c r="L471" s="363"/>
    </row>
    <row r="472" spans="1:12" ht="19.2" customHeight="1" x14ac:dyDescent="0.3">
      <c r="A472" s="258"/>
      <c r="B472" s="255"/>
      <c r="C472" t="s">
        <v>539</v>
      </c>
      <c r="D472" s="248"/>
      <c r="E472" s="49"/>
      <c r="F472" s="14"/>
      <c r="G472" s="251"/>
      <c r="H472" s="251"/>
      <c r="I472" s="15"/>
      <c r="J472" s="262"/>
      <c r="K472" s="205"/>
      <c r="L472" s="363"/>
    </row>
    <row r="473" spans="1:12" ht="19.2" customHeight="1" x14ac:dyDescent="0.3">
      <c r="A473" s="258"/>
      <c r="B473" s="255"/>
      <c r="C473" t="s">
        <v>540</v>
      </c>
      <c r="D473" s="248"/>
      <c r="E473" s="49"/>
      <c r="F473" s="14"/>
      <c r="G473" s="251"/>
      <c r="H473" s="251"/>
      <c r="I473" s="15"/>
      <c r="J473" s="262"/>
      <c r="K473" s="205"/>
      <c r="L473" s="363"/>
    </row>
    <row r="474" spans="1:12" ht="19.2" customHeight="1" x14ac:dyDescent="0.3">
      <c r="A474" s="258"/>
      <c r="B474" s="255"/>
      <c r="C474" t="s">
        <v>541</v>
      </c>
      <c r="D474" s="248"/>
      <c r="E474" s="49"/>
      <c r="F474" s="14"/>
      <c r="G474" s="251"/>
      <c r="H474" s="251"/>
      <c r="I474" s="15"/>
      <c r="J474" s="262"/>
      <c r="K474" s="205"/>
      <c r="L474" s="363"/>
    </row>
    <row r="475" spans="1:12" ht="19.2" customHeight="1" x14ac:dyDescent="0.3">
      <c r="A475" s="258"/>
      <c r="B475" s="255"/>
      <c r="C475" t="s">
        <v>542</v>
      </c>
      <c r="D475" s="248"/>
      <c r="E475" s="49"/>
      <c r="F475" s="14"/>
      <c r="G475" s="251"/>
      <c r="H475" s="251"/>
      <c r="I475" s="15"/>
      <c r="J475" s="262"/>
      <c r="K475" s="205"/>
      <c r="L475" s="363"/>
    </row>
    <row r="476" spans="1:12" ht="19.2" customHeight="1" x14ac:dyDescent="0.3">
      <c r="A476" s="258"/>
      <c r="B476" s="255"/>
      <c r="C476" t="s">
        <v>543</v>
      </c>
      <c r="D476" s="248"/>
      <c r="E476" s="49"/>
      <c r="F476" s="14"/>
      <c r="G476" s="251"/>
      <c r="H476" s="251"/>
      <c r="I476" s="15"/>
      <c r="J476" s="262"/>
      <c r="K476" s="205"/>
      <c r="L476" s="363"/>
    </row>
    <row r="477" spans="1:12" ht="19.2" customHeight="1" x14ac:dyDescent="0.3">
      <c r="A477" s="258"/>
      <c r="B477" s="255"/>
      <c r="C477" t="s">
        <v>544</v>
      </c>
      <c r="D477" s="248"/>
      <c r="E477" s="49"/>
      <c r="F477" s="14"/>
      <c r="G477" s="251"/>
      <c r="H477" s="251"/>
      <c r="I477" s="15"/>
      <c r="J477" s="262"/>
      <c r="K477" s="205"/>
      <c r="L477" s="363"/>
    </row>
    <row r="478" spans="1:12" ht="19.2" customHeight="1" x14ac:dyDescent="0.3">
      <c r="A478" s="258"/>
      <c r="B478" s="255"/>
      <c r="C478" t="s">
        <v>545</v>
      </c>
      <c r="D478" s="248"/>
      <c r="E478" s="49"/>
      <c r="F478" s="14"/>
      <c r="G478" s="251"/>
      <c r="H478" s="251"/>
      <c r="I478" s="15"/>
      <c r="J478" s="262"/>
      <c r="K478" s="205"/>
      <c r="L478" s="363"/>
    </row>
    <row r="479" spans="1:12" ht="19.2" customHeight="1" x14ac:dyDescent="0.3">
      <c r="A479" s="258"/>
      <c r="B479" s="255"/>
      <c r="C479" t="s">
        <v>546</v>
      </c>
      <c r="D479" s="248"/>
      <c r="E479" s="49"/>
      <c r="F479" s="14"/>
      <c r="G479" s="251"/>
      <c r="H479" s="251"/>
      <c r="I479" s="15"/>
      <c r="J479" s="262"/>
      <c r="K479" s="205"/>
      <c r="L479" s="363"/>
    </row>
    <row r="480" spans="1:12" ht="19.2" customHeight="1" x14ac:dyDescent="0.3">
      <c r="A480" s="258"/>
      <c r="B480" s="255"/>
      <c r="C480" t="s">
        <v>547</v>
      </c>
      <c r="D480" s="248"/>
      <c r="E480" s="49"/>
      <c r="F480" s="14"/>
      <c r="G480" s="251"/>
      <c r="H480" s="251"/>
      <c r="I480" s="15"/>
      <c r="J480" s="262"/>
      <c r="K480" s="205"/>
      <c r="L480" s="363"/>
    </row>
    <row r="481" spans="1:12" ht="19.2" customHeight="1" x14ac:dyDescent="0.3">
      <c r="A481" s="258"/>
      <c r="B481" s="255"/>
      <c r="C481" t="s">
        <v>548</v>
      </c>
      <c r="D481" s="248"/>
      <c r="E481" s="49"/>
      <c r="F481" s="14"/>
      <c r="G481" s="251"/>
      <c r="H481" s="251"/>
      <c r="I481" s="15"/>
      <c r="J481" s="262"/>
      <c r="K481" s="205"/>
      <c r="L481" s="363"/>
    </row>
    <row r="482" spans="1:12" ht="19.2" customHeight="1" x14ac:dyDescent="0.3">
      <c r="A482" s="258"/>
      <c r="B482" s="255"/>
      <c r="C482" t="s">
        <v>549</v>
      </c>
      <c r="D482" s="248"/>
      <c r="E482" s="49"/>
      <c r="F482" s="14"/>
      <c r="G482" s="251"/>
      <c r="H482" s="251"/>
      <c r="I482" s="15"/>
      <c r="J482" s="262"/>
      <c r="K482" s="205"/>
      <c r="L482" s="363"/>
    </row>
    <row r="483" spans="1:12" ht="19.2" customHeight="1" x14ac:dyDescent="0.3">
      <c r="A483" s="258"/>
      <c r="B483" s="255"/>
      <c r="C483" t="s">
        <v>526</v>
      </c>
      <c r="D483" s="248"/>
      <c r="E483" s="49"/>
      <c r="F483" s="14"/>
      <c r="G483" s="251"/>
      <c r="H483" s="251"/>
      <c r="I483" s="15"/>
      <c r="J483" s="262"/>
      <c r="K483" s="205"/>
      <c r="L483" s="363"/>
    </row>
    <row r="484" spans="1:12" ht="19.2" customHeight="1" thickBot="1" x14ac:dyDescent="0.35">
      <c r="A484" s="259"/>
      <c r="B484" s="256"/>
      <c r="C484" s="88" t="s">
        <v>550</v>
      </c>
      <c r="D484" s="249"/>
      <c r="E484" s="115"/>
      <c r="F484" s="116"/>
      <c r="G484" s="252"/>
      <c r="H484" s="252"/>
      <c r="I484" s="117"/>
      <c r="J484" s="263"/>
      <c r="K484" s="206"/>
      <c r="L484" s="364"/>
    </row>
    <row r="485" spans="1:12" ht="30" customHeight="1" x14ac:dyDescent="0.3">
      <c r="A485" s="257" t="s">
        <v>582</v>
      </c>
      <c r="B485" s="254" t="s">
        <v>593</v>
      </c>
      <c r="C485" s="104" t="s">
        <v>583</v>
      </c>
      <c r="D485" s="247" t="s">
        <v>594</v>
      </c>
      <c r="E485" s="209" t="s">
        <v>607</v>
      </c>
      <c r="F485" s="110"/>
      <c r="G485" s="253">
        <v>1</v>
      </c>
      <c r="H485" s="253" t="s">
        <v>595</v>
      </c>
      <c r="I485" s="111"/>
      <c r="J485" s="261">
        <v>12080</v>
      </c>
      <c r="K485" s="345">
        <f>J485*L10</f>
        <v>549617.04800000007</v>
      </c>
      <c r="L485" s="216">
        <f>K485</f>
        <v>549617.04800000007</v>
      </c>
    </row>
    <row r="486" spans="1:12" ht="28.8" x14ac:dyDescent="0.3">
      <c r="A486" s="258"/>
      <c r="B486" s="255"/>
      <c r="C486" s="107" t="s">
        <v>584</v>
      </c>
      <c r="D486" s="248"/>
      <c r="E486" s="210"/>
      <c r="F486" s="14"/>
      <c r="G486" s="251"/>
      <c r="H486" s="251"/>
      <c r="I486" s="15"/>
      <c r="J486" s="262"/>
      <c r="K486" s="205"/>
      <c r="L486" s="197"/>
    </row>
    <row r="487" spans="1:12" ht="28.8" x14ac:dyDescent="0.3">
      <c r="A487" s="258"/>
      <c r="B487" s="255"/>
      <c r="C487" s="107" t="s">
        <v>585</v>
      </c>
      <c r="D487" s="248"/>
      <c r="E487" s="210"/>
      <c r="F487" s="14"/>
      <c r="G487" s="251"/>
      <c r="H487" s="251"/>
      <c r="I487" s="15"/>
      <c r="J487" s="262"/>
      <c r="K487" s="205"/>
      <c r="L487" s="197"/>
    </row>
    <row r="488" spans="1:12" ht="28.8" x14ac:dyDescent="0.3">
      <c r="A488" s="258"/>
      <c r="B488" s="255"/>
      <c r="C488" s="107" t="s">
        <v>586</v>
      </c>
      <c r="D488" s="248"/>
      <c r="E488" s="210"/>
      <c r="F488" s="14"/>
      <c r="G488" s="251"/>
      <c r="H488" s="251"/>
      <c r="I488" s="15"/>
      <c r="J488" s="262"/>
      <c r="K488" s="205"/>
      <c r="L488" s="197"/>
    </row>
    <row r="489" spans="1:12" ht="28.8" x14ac:dyDescent="0.3">
      <c r="A489" s="258"/>
      <c r="B489" s="255"/>
      <c r="C489" s="107" t="s">
        <v>587</v>
      </c>
      <c r="D489" s="248"/>
      <c r="E489" s="210"/>
      <c r="F489" s="14"/>
      <c r="G489" s="251"/>
      <c r="H489" s="251"/>
      <c r="I489" s="15"/>
      <c r="J489" s="262"/>
      <c r="K489" s="205"/>
      <c r="L489" s="197"/>
    </row>
    <row r="490" spans="1:12" ht="16.2" x14ac:dyDescent="0.3">
      <c r="A490" s="258"/>
      <c r="B490" s="255"/>
      <c r="C490" s="107" t="s">
        <v>588</v>
      </c>
      <c r="D490" s="248"/>
      <c r="E490" s="210"/>
      <c r="F490" s="14"/>
      <c r="G490" s="251"/>
      <c r="H490" s="251"/>
      <c r="I490" s="15"/>
      <c r="J490" s="262"/>
      <c r="K490" s="205"/>
      <c r="L490" s="197"/>
    </row>
    <row r="491" spans="1:12" ht="19.2" customHeight="1" x14ac:dyDescent="0.3">
      <c r="A491" s="258"/>
      <c r="B491" s="255"/>
      <c r="C491" s="107" t="s">
        <v>589</v>
      </c>
      <c r="D491" s="248"/>
      <c r="E491" s="210"/>
      <c r="F491" s="14"/>
      <c r="G491" s="251"/>
      <c r="H491" s="251"/>
      <c r="I491" s="15"/>
      <c r="J491" s="262"/>
      <c r="K491" s="205"/>
      <c r="L491" s="197"/>
    </row>
    <row r="492" spans="1:12" ht="19.2" customHeight="1" x14ac:dyDescent="0.3">
      <c r="A492" s="258"/>
      <c r="B492" s="255"/>
      <c r="C492" s="107" t="s">
        <v>590</v>
      </c>
      <c r="D492" s="248"/>
      <c r="E492" s="210"/>
      <c r="F492" s="14"/>
      <c r="G492" s="251"/>
      <c r="H492" s="251"/>
      <c r="I492" s="15"/>
      <c r="J492" s="262"/>
      <c r="K492" s="205"/>
      <c r="L492" s="197"/>
    </row>
    <row r="493" spans="1:12" ht="19.2" customHeight="1" x14ac:dyDescent="0.3">
      <c r="A493" s="258"/>
      <c r="B493" s="255"/>
      <c r="C493" s="107" t="s">
        <v>591</v>
      </c>
      <c r="D493" s="248"/>
      <c r="E493" s="210"/>
      <c r="F493" s="14"/>
      <c r="G493" s="251"/>
      <c r="H493" s="251"/>
      <c r="I493" s="15"/>
      <c r="J493" s="262"/>
      <c r="K493" s="205"/>
      <c r="L493" s="197"/>
    </row>
    <row r="494" spans="1:12" ht="16.95" customHeight="1" thickBot="1" x14ac:dyDescent="0.35">
      <c r="A494" s="259"/>
      <c r="B494" s="256"/>
      <c r="C494" s="105" t="s">
        <v>592</v>
      </c>
      <c r="D494" s="249"/>
      <c r="E494" s="211"/>
      <c r="F494" s="116"/>
      <c r="G494" s="252"/>
      <c r="H494" s="252"/>
      <c r="I494" s="117"/>
      <c r="J494" s="263"/>
      <c r="K494" s="206"/>
      <c r="L494" s="198"/>
    </row>
    <row r="495" spans="1:12" ht="27.6" customHeight="1" thickBot="1" x14ac:dyDescent="0.3">
      <c r="A495" s="8"/>
      <c r="B495" s="9"/>
      <c r="C495" s="8"/>
      <c r="D495" s="10"/>
      <c r="E495" s="10"/>
      <c r="F495" s="10"/>
      <c r="G495" s="10"/>
      <c r="H495" s="11"/>
      <c r="I495" s="9"/>
      <c r="J495" s="12"/>
      <c r="K495" s="119" t="s">
        <v>615</v>
      </c>
      <c r="L495" s="120">
        <f>SUM(L18:L494)</f>
        <v>7940356.7818999998</v>
      </c>
    </row>
    <row r="496" spans="1:12" ht="27.6" customHeight="1" thickBot="1" x14ac:dyDescent="0.3">
      <c r="A496" s="8"/>
      <c r="B496" s="9"/>
      <c r="C496" s="8"/>
      <c r="D496" s="10"/>
      <c r="E496" s="10"/>
      <c r="F496" s="10"/>
      <c r="G496" s="10"/>
      <c r="H496" s="11"/>
      <c r="I496" s="9"/>
      <c r="J496" s="12"/>
      <c r="K496" s="20" t="s">
        <v>10</v>
      </c>
      <c r="L496" s="21">
        <f>L495/L11</f>
        <v>149051.42196739037</v>
      </c>
    </row>
    <row r="497" spans="1:13" ht="20.399999999999999" customHeight="1" thickBot="1" x14ac:dyDescent="0.3">
      <c r="A497" s="2"/>
      <c r="B497" s="2"/>
      <c r="C497" s="2"/>
      <c r="D497" s="2"/>
      <c r="E497" s="2"/>
      <c r="F497" s="2"/>
      <c r="G497" s="2"/>
      <c r="H497" s="2"/>
      <c r="I497" s="2"/>
      <c r="J497" s="2"/>
      <c r="L497" s="2"/>
    </row>
    <row r="498" spans="1:13" ht="17.25" customHeight="1" x14ac:dyDescent="0.25">
      <c r="A498" s="234" t="s">
        <v>16</v>
      </c>
      <c r="B498" s="237" t="s">
        <v>332</v>
      </c>
      <c r="C498" s="238"/>
      <c r="D498" s="238"/>
      <c r="E498" s="238"/>
      <c r="F498" s="238"/>
      <c r="G498" s="238"/>
      <c r="H498" s="238"/>
      <c r="I498" s="238"/>
      <c r="J498" s="239"/>
    </row>
    <row r="499" spans="1:13" ht="24" x14ac:dyDescent="0.35">
      <c r="A499" s="235"/>
      <c r="B499" s="240"/>
      <c r="C499" s="240"/>
      <c r="D499" s="240"/>
      <c r="E499" s="240"/>
      <c r="F499" s="240"/>
      <c r="G499" s="240"/>
      <c r="H499" s="240"/>
      <c r="I499" s="240"/>
      <c r="J499" s="241"/>
      <c r="L499" s="120">
        <f>L495*1.5</f>
        <v>11910535.17285</v>
      </c>
      <c r="M499" s="195" t="s">
        <v>617</v>
      </c>
    </row>
    <row r="500" spans="1:13" x14ac:dyDescent="0.25">
      <c r="A500" s="235"/>
      <c r="B500" s="240"/>
      <c r="C500" s="240"/>
      <c r="D500" s="240"/>
      <c r="E500" s="240"/>
      <c r="F500" s="240"/>
      <c r="G500" s="240"/>
      <c r="H500" s="240"/>
      <c r="I500" s="240"/>
      <c r="J500" s="241"/>
    </row>
    <row r="501" spans="1:13" ht="51" customHeight="1" thickBot="1" x14ac:dyDescent="0.4">
      <c r="A501" s="235"/>
      <c r="B501" s="240"/>
      <c r="C501" s="240"/>
      <c r="D501" s="240"/>
      <c r="E501" s="240"/>
      <c r="F501" s="240"/>
      <c r="G501" s="240"/>
      <c r="H501" s="240"/>
      <c r="I501" s="240"/>
      <c r="J501" s="241"/>
      <c r="L501" s="21">
        <f>L496*1.6</f>
        <v>238482.27514782461</v>
      </c>
      <c r="M501" s="195" t="s">
        <v>618</v>
      </c>
    </row>
    <row r="502" spans="1:13" x14ac:dyDescent="0.25">
      <c r="A502" s="235"/>
      <c r="B502" s="240"/>
      <c r="C502" s="240"/>
      <c r="D502" s="240"/>
      <c r="E502" s="240"/>
      <c r="F502" s="240"/>
      <c r="G502" s="240"/>
      <c r="H502" s="240"/>
      <c r="I502" s="240"/>
      <c r="J502" s="241"/>
    </row>
    <row r="503" spans="1:13" ht="120" customHeight="1" thickBot="1" x14ac:dyDescent="0.3">
      <c r="A503" s="236"/>
      <c r="B503" s="242"/>
      <c r="C503" s="242"/>
      <c r="D503" s="242"/>
      <c r="E503" s="242"/>
      <c r="F503" s="242"/>
      <c r="G503" s="242"/>
      <c r="H503" s="242"/>
      <c r="I503" s="242"/>
      <c r="J503" s="243"/>
    </row>
    <row r="504" spans="1:13" ht="21.6" thickBot="1" x14ac:dyDescent="0.4">
      <c r="A504" s="30"/>
    </row>
    <row r="505" spans="1:13" ht="13.95" customHeight="1" x14ac:dyDescent="0.25">
      <c r="A505" s="225" t="s">
        <v>17</v>
      </c>
      <c r="B505" s="228" t="s">
        <v>18</v>
      </c>
      <c r="C505" s="228"/>
      <c r="D505" s="228"/>
      <c r="E505" s="228"/>
      <c r="F505" s="228"/>
      <c r="G505" s="228"/>
      <c r="H505" s="228"/>
      <c r="I505" s="228"/>
      <c r="J505" s="229"/>
    </row>
    <row r="506" spans="1:13" ht="13.95" customHeight="1" x14ac:dyDescent="0.25">
      <c r="A506" s="226"/>
      <c r="B506" s="230"/>
      <c r="C506" s="230"/>
      <c r="D506" s="230"/>
      <c r="E506" s="230"/>
      <c r="F506" s="230"/>
      <c r="G506" s="230"/>
      <c r="H506" s="230"/>
      <c r="I506" s="230"/>
      <c r="J506" s="231"/>
    </row>
    <row r="507" spans="1:13" ht="13.95" customHeight="1" x14ac:dyDescent="0.25">
      <c r="A507" s="226"/>
      <c r="B507" s="230"/>
      <c r="C507" s="230"/>
      <c r="D507" s="230"/>
      <c r="E507" s="230"/>
      <c r="F507" s="230"/>
      <c r="G507" s="230"/>
      <c r="H507" s="230"/>
      <c r="I507" s="230"/>
      <c r="J507" s="231"/>
    </row>
    <row r="508" spans="1:13" ht="13.95" customHeight="1" x14ac:dyDescent="0.25">
      <c r="A508" s="226"/>
      <c r="B508" s="230"/>
      <c r="C508" s="230"/>
      <c r="D508" s="230"/>
      <c r="E508" s="230"/>
      <c r="F508" s="230"/>
      <c r="G508" s="230"/>
      <c r="H508" s="230"/>
      <c r="I508" s="230"/>
      <c r="J508" s="231"/>
    </row>
    <row r="509" spans="1:13" ht="13.95" customHeight="1" x14ac:dyDescent="0.25">
      <c r="A509" s="226"/>
      <c r="B509" s="230"/>
      <c r="C509" s="230"/>
      <c r="D509" s="230"/>
      <c r="E509" s="230"/>
      <c r="F509" s="230"/>
      <c r="G509" s="230"/>
      <c r="H509" s="230"/>
      <c r="I509" s="230"/>
      <c r="J509" s="231"/>
    </row>
    <row r="510" spans="1:13" ht="13.95" customHeight="1" x14ac:dyDescent="0.25">
      <c r="A510" s="226"/>
      <c r="B510" s="230"/>
      <c r="C510" s="230"/>
      <c r="D510" s="230"/>
      <c r="E510" s="230"/>
      <c r="F510" s="230"/>
      <c r="G510" s="230"/>
      <c r="H510" s="230"/>
      <c r="I510" s="230"/>
      <c r="J510" s="231"/>
    </row>
    <row r="511" spans="1:13" ht="13.95" customHeight="1" x14ac:dyDescent="0.25">
      <c r="A511" s="226"/>
      <c r="B511" s="230"/>
      <c r="C511" s="230"/>
      <c r="D511" s="230"/>
      <c r="E511" s="230"/>
      <c r="F511" s="230"/>
      <c r="G511" s="230"/>
      <c r="H511" s="230"/>
      <c r="I511" s="230"/>
      <c r="J511" s="231"/>
    </row>
    <row r="512" spans="1:13" ht="14.4" customHeight="1" x14ac:dyDescent="0.25">
      <c r="A512" s="226"/>
      <c r="B512" s="230"/>
      <c r="C512" s="230"/>
      <c r="D512" s="230"/>
      <c r="E512" s="230"/>
      <c r="F512" s="230"/>
      <c r="G512" s="230"/>
      <c r="H512" s="230"/>
      <c r="I512" s="230"/>
      <c r="J512" s="231"/>
    </row>
    <row r="513" spans="1:10" ht="14.4" customHeight="1" x14ac:dyDescent="0.25">
      <c r="A513" s="226"/>
      <c r="B513" s="230"/>
      <c r="C513" s="230"/>
      <c r="D513" s="230"/>
      <c r="E513" s="230"/>
      <c r="F513" s="230"/>
      <c r="G513" s="230"/>
      <c r="H513" s="230"/>
      <c r="I513" s="230"/>
      <c r="J513" s="231"/>
    </row>
    <row r="514" spans="1:10" ht="14.4" customHeight="1" thickBot="1" x14ac:dyDescent="0.3">
      <c r="A514" s="227"/>
      <c r="B514" s="232"/>
      <c r="C514" s="232"/>
      <c r="D514" s="232"/>
      <c r="E514" s="232"/>
      <c r="F514" s="232"/>
      <c r="G514" s="232"/>
      <c r="H514" s="232"/>
      <c r="I514" s="232"/>
      <c r="J514" s="233"/>
    </row>
  </sheetData>
  <dataConsolidate/>
  <mergeCells count="237">
    <mergeCell ref="L50:L57"/>
    <mergeCell ref="J60:J65"/>
    <mergeCell ref="K60:K65"/>
    <mergeCell ref="L60:L65"/>
    <mergeCell ref="I190:I214"/>
    <mergeCell ref="I379:I396"/>
    <mergeCell ref="J274:J282"/>
    <mergeCell ref="K274:K282"/>
    <mergeCell ref="L274:L282"/>
    <mergeCell ref="J283:J288"/>
    <mergeCell ref="K283:K288"/>
    <mergeCell ref="L283:L288"/>
    <mergeCell ref="I330:I361"/>
    <mergeCell ref="J330:J361"/>
    <mergeCell ref="K330:K361"/>
    <mergeCell ref="L330:L361"/>
    <mergeCell ref="J136:J139"/>
    <mergeCell ref="K136:K139"/>
    <mergeCell ref="L136:L139"/>
    <mergeCell ref="I136:I139"/>
    <mergeCell ref="I140:I154"/>
    <mergeCell ref="I215:I273"/>
    <mergeCell ref="J215:J273"/>
    <mergeCell ref="K190:K214"/>
    <mergeCell ref="J155:J173"/>
    <mergeCell ref="K155:K173"/>
    <mergeCell ref="L155:L173"/>
    <mergeCell ref="K174:K189"/>
    <mergeCell ref="J174:J189"/>
    <mergeCell ref="L174:L189"/>
    <mergeCell ref="J485:J494"/>
    <mergeCell ref="K485:K494"/>
    <mergeCell ref="L485:L494"/>
    <mergeCell ref="J289:J309"/>
    <mergeCell ref="K289:K309"/>
    <mergeCell ref="L289:L309"/>
    <mergeCell ref="K397:K410"/>
    <mergeCell ref="J397:J410"/>
    <mergeCell ref="L397:L410"/>
    <mergeCell ref="K424:K464"/>
    <mergeCell ref="L424:L464"/>
    <mergeCell ref="K465:K484"/>
    <mergeCell ref="L465:L484"/>
    <mergeCell ref="K412:K423"/>
    <mergeCell ref="L412:L423"/>
    <mergeCell ref="J412:J423"/>
    <mergeCell ref="K310:K329"/>
    <mergeCell ref="K362:K378"/>
    <mergeCell ref="J310:J329"/>
    <mergeCell ref="L310:L329"/>
    <mergeCell ref="J379:J396"/>
    <mergeCell ref="L379:L396"/>
    <mergeCell ref="K379:K396"/>
    <mergeCell ref="A190:A214"/>
    <mergeCell ref="A215:A273"/>
    <mergeCell ref="A379:A396"/>
    <mergeCell ref="B424:B464"/>
    <mergeCell ref="B330:B359"/>
    <mergeCell ref="G310:G329"/>
    <mergeCell ref="D215:D256"/>
    <mergeCell ref="E215:E273"/>
    <mergeCell ref="F215:F273"/>
    <mergeCell ref="G215:G273"/>
    <mergeCell ref="H215:H273"/>
    <mergeCell ref="K215:K273"/>
    <mergeCell ref="L215:L273"/>
    <mergeCell ref="E190:E214"/>
    <mergeCell ref="J190:J214"/>
    <mergeCell ref="L190:L214"/>
    <mergeCell ref="J362:J378"/>
    <mergeCell ref="I362:I378"/>
    <mergeCell ref="L362:L378"/>
    <mergeCell ref="C21:C22"/>
    <mergeCell ref="D424:D464"/>
    <mergeCell ref="A424:A464"/>
    <mergeCell ref="H424:H464"/>
    <mergeCell ref="B465:B484"/>
    <mergeCell ref="D465:D484"/>
    <mergeCell ref="H465:H484"/>
    <mergeCell ref="A465:A484"/>
    <mergeCell ref="D397:D410"/>
    <mergeCell ref="H397:H410"/>
    <mergeCell ref="B397:B410"/>
    <mergeCell ref="A397:A410"/>
    <mergeCell ref="B412:B423"/>
    <mergeCell ref="A412:A423"/>
    <mergeCell ref="D412:D423"/>
    <mergeCell ref="H412:H423"/>
    <mergeCell ref="G465:G484"/>
    <mergeCell ref="G424:G464"/>
    <mergeCell ref="G412:G423"/>
    <mergeCell ref="G397:G410"/>
    <mergeCell ref="A310:A329"/>
    <mergeCell ref="A330:A361"/>
    <mergeCell ref="C360:C361"/>
    <mergeCell ref="D330:D361"/>
    <mergeCell ref="A485:A494"/>
    <mergeCell ref="B485:B494"/>
    <mergeCell ref="H485:H494"/>
    <mergeCell ref="D485:D494"/>
    <mergeCell ref="G485:G494"/>
    <mergeCell ref="G379:G396"/>
    <mergeCell ref="G362:G378"/>
    <mergeCell ref="G330:G361"/>
    <mergeCell ref="H330:H361"/>
    <mergeCell ref="E485:E494"/>
    <mergeCell ref="A136:A139"/>
    <mergeCell ref="A274:A288"/>
    <mergeCell ref="B289:B309"/>
    <mergeCell ref="D289:D309"/>
    <mergeCell ref="H289:H309"/>
    <mergeCell ref="A289:A309"/>
    <mergeCell ref="D274:D282"/>
    <mergeCell ref="H274:H282"/>
    <mergeCell ref="B274:B282"/>
    <mergeCell ref="D283:D288"/>
    <mergeCell ref="H283:H288"/>
    <mergeCell ref="B283:B288"/>
    <mergeCell ref="G289:G309"/>
    <mergeCell ref="G274:G282"/>
    <mergeCell ref="G283:G288"/>
    <mergeCell ref="G136:G138"/>
    <mergeCell ref="G155:G173"/>
    <mergeCell ref="G174:G189"/>
    <mergeCell ref="G190:G214"/>
    <mergeCell ref="B136:B138"/>
    <mergeCell ref="D136:D138"/>
    <mergeCell ref="H136:H138"/>
    <mergeCell ref="D257:D273"/>
    <mergeCell ref="B215:B256"/>
    <mergeCell ref="B58:B59"/>
    <mergeCell ref="B60:B65"/>
    <mergeCell ref="H60:H65"/>
    <mergeCell ref="D51:D57"/>
    <mergeCell ref="A81:A135"/>
    <mergeCell ref="G82:G105"/>
    <mergeCell ref="B123:B135"/>
    <mergeCell ref="H123:H135"/>
    <mergeCell ref="D123:D135"/>
    <mergeCell ref="D107:D115"/>
    <mergeCell ref="H107:H115"/>
    <mergeCell ref="B107:B115"/>
    <mergeCell ref="D116:D121"/>
    <mergeCell ref="H116:H121"/>
    <mergeCell ref="B116:B121"/>
    <mergeCell ref="G123:G135"/>
    <mergeCell ref="G116:G121"/>
    <mergeCell ref="G107:G115"/>
    <mergeCell ref="G51:G57"/>
    <mergeCell ref="G60:G65"/>
    <mergeCell ref="C2:K4"/>
    <mergeCell ref="C7:H7"/>
    <mergeCell ref="A7:B7"/>
    <mergeCell ref="A8:B8"/>
    <mergeCell ref="C8:H8"/>
    <mergeCell ref="A6:B6"/>
    <mergeCell ref="C6:H6"/>
    <mergeCell ref="H68:H80"/>
    <mergeCell ref="D60:D65"/>
    <mergeCell ref="D68:D80"/>
    <mergeCell ref="G68:G80"/>
    <mergeCell ref="C9:H9"/>
    <mergeCell ref="C11:H11"/>
    <mergeCell ref="A15:B15"/>
    <mergeCell ref="A10:B10"/>
    <mergeCell ref="C13:H13"/>
    <mergeCell ref="I50:I57"/>
    <mergeCell ref="J50:J57"/>
    <mergeCell ref="K50:K57"/>
    <mergeCell ref="C14:H14"/>
    <mergeCell ref="C10:H10"/>
    <mergeCell ref="C15:H15"/>
    <mergeCell ref="A9:B9"/>
    <mergeCell ref="H51:H57"/>
    <mergeCell ref="A11:B11"/>
    <mergeCell ref="A13:B13"/>
    <mergeCell ref="A14:B14"/>
    <mergeCell ref="A140:A154"/>
    <mergeCell ref="A155:A189"/>
    <mergeCell ref="B140:B154"/>
    <mergeCell ref="D140:D154"/>
    <mergeCell ref="H140:H154"/>
    <mergeCell ref="B155:B173"/>
    <mergeCell ref="D155:D173"/>
    <mergeCell ref="H155:H173"/>
    <mergeCell ref="E155:E173"/>
    <mergeCell ref="E174:E189"/>
    <mergeCell ref="A24:A26"/>
    <mergeCell ref="A18:A23"/>
    <mergeCell ref="B39:B50"/>
    <mergeCell ref="A38:A80"/>
    <mergeCell ref="A12:B12"/>
    <mergeCell ref="B51:B57"/>
    <mergeCell ref="B68:B80"/>
    <mergeCell ref="C12:H12"/>
    <mergeCell ref="D82:D106"/>
    <mergeCell ref="B82:B105"/>
    <mergeCell ref="H82:H105"/>
    <mergeCell ref="A505:A514"/>
    <mergeCell ref="B505:J514"/>
    <mergeCell ref="A498:A503"/>
    <mergeCell ref="B498:J503"/>
    <mergeCell ref="B174:B189"/>
    <mergeCell ref="D174:D189"/>
    <mergeCell ref="H174:H189"/>
    <mergeCell ref="D190:D214"/>
    <mergeCell ref="H190:H214"/>
    <mergeCell ref="B190:B214"/>
    <mergeCell ref="B362:B378"/>
    <mergeCell ref="D362:D378"/>
    <mergeCell ref="H362:H378"/>
    <mergeCell ref="A362:A378"/>
    <mergeCell ref="D379:D396"/>
    <mergeCell ref="H379:H396"/>
    <mergeCell ref="J424:J464"/>
    <mergeCell ref="J465:J484"/>
    <mergeCell ref="B257:B273"/>
    <mergeCell ref="B379:B396"/>
    <mergeCell ref="B310:B329"/>
    <mergeCell ref="D310:D329"/>
    <mergeCell ref="H310:H329"/>
    <mergeCell ref="E289:E309"/>
    <mergeCell ref="L68:L80"/>
    <mergeCell ref="K68:K80"/>
    <mergeCell ref="J68:J80"/>
    <mergeCell ref="L140:L154"/>
    <mergeCell ref="K140:K154"/>
    <mergeCell ref="J140:J154"/>
    <mergeCell ref="E140:E154"/>
    <mergeCell ref="J123:J135"/>
    <mergeCell ref="K123:K135"/>
    <mergeCell ref="L123:L135"/>
    <mergeCell ref="J81:J121"/>
    <mergeCell ref="K81:K121"/>
    <mergeCell ref="L81:L121"/>
    <mergeCell ref="I81:I121"/>
    <mergeCell ref="I123:I135"/>
  </mergeCells>
  <phoneticPr fontId="12" type="noConversion"/>
  <dataValidations disablePrompts="1"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Su Kayıpları Tespit Aracı</vt:lpstr>
      <vt:lpstr>'Su Kayıpları Tespit Aracı'!Yazdırma_Alanı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Yeliz Cosar</cp:lastModifiedBy>
  <cp:lastPrinted>2026-03-30T09:19:49Z</cp:lastPrinted>
  <dcterms:created xsi:type="dcterms:W3CDTF">2026-03-25T06:09:07Z</dcterms:created>
  <dcterms:modified xsi:type="dcterms:W3CDTF">2026-05-14T15:09:51Z</dcterms:modified>
</cp:coreProperties>
</file>