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FORD RANGER OLAY YERİ İNCELEME SAC KANOPİ\MALİYETLENDİRME\"/>
    </mc:Choice>
  </mc:AlternateContent>
  <xr:revisionPtr revIDLastSave="0" documentId="13_ncr:1_{5841E1E0-D69E-4E61-816C-37F9A376648F}" xr6:coauthVersionLast="47" xr6:coauthVersionMax="47" xr10:uidLastSave="{00000000-0000-0000-0000-000000000000}"/>
  <bookViews>
    <workbookView xWindow="-108" yWindow="-108" windowWidth="23256" windowHeight="12456" xr2:uid="{BA95FC1E-CD1B-490F-9A0C-080875F12861}"/>
  </bookViews>
  <sheets>
    <sheet name="Olay Yeri İnceleme" sheetId="6" r:id="rId1"/>
  </sheets>
  <definedNames>
    <definedName name="_xlnm.Print_Area" localSheetId="0">'Olay Yeri İnceleme'!$A$1:$L$59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6" l="1"/>
  <c r="L29" i="6"/>
  <c r="L28" i="6"/>
  <c r="L22" i="6"/>
  <c r="L23" i="6"/>
  <c r="L24" i="6"/>
  <c r="L25" i="6"/>
  <c r="L26" i="6"/>
  <c r="L27" i="6"/>
  <c r="L30" i="6"/>
  <c r="L31" i="6"/>
  <c r="L32" i="6"/>
  <c r="L33" i="6"/>
  <c r="L34" i="6"/>
  <c r="L35" i="6"/>
  <c r="L36" i="6"/>
  <c r="L37" i="6"/>
  <c r="L18" i="6"/>
  <c r="L19" i="6"/>
  <c r="L20" i="6"/>
  <c r="L21" i="6"/>
  <c r="L40" i="6" l="1"/>
  <c r="L41" i="6" s="1"/>
</calcChain>
</file>

<file path=xl/sharedStrings.xml><?xml version="1.0" encoding="utf-8"?>
<sst xmlns="http://schemas.openxmlformats.org/spreadsheetml/2006/main" count="145" uniqueCount="107">
  <si>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</si>
  <si>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</si>
  <si>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</si>
  <si>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</si>
  <si>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</si>
  <si>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</si>
  <si>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</si>
  <si>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</si>
  <si>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</si>
  <si>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</si>
  <si>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</si>
  <si>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</si>
  <si>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</si>
  <si>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</si>
  <si>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</si>
  <si>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</si>
  <si>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</si>
  <si>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</si>
  <si>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</si>
  <si>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</si>
  <si>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</si>
  <si>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</si>
  <si>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</si>
  <si>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</si>
  <si>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</si>
  <si>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</si>
  <si>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</si>
  <si>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</si>
  <si>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Ürün Departmanı Notu</t>
  </si>
  <si>
    <t>Yaklaşık Bedel</t>
  </si>
  <si>
    <t>OLUŞTURULAN TARİH</t>
  </si>
  <si>
    <t>TEKLİF VERİLECEK TARİH</t>
  </si>
  <si>
    <t>SVC</t>
  </si>
  <si>
    <t>Otokoç</t>
  </si>
  <si>
    <t>Elektrik Tesisatı</t>
  </si>
  <si>
    <t>Spiral boru içinden 
geçecektir</t>
  </si>
  <si>
    <t>Takviye Kablosu</t>
  </si>
  <si>
    <t>Akü takviye kablosu</t>
  </si>
  <si>
    <t>1200 Amper
5 mt uzunluğunda 
25mm² kalınlığında bakır kablo</t>
  </si>
  <si>
    <t>Priz</t>
  </si>
  <si>
    <t>220V</t>
  </si>
  <si>
    <t>Inverter</t>
  </si>
  <si>
    <t>Harici Elektrik Girişi</t>
  </si>
  <si>
    <t>220V -IP67 Standardı</t>
  </si>
  <si>
    <t>2000W Tam Sinus
10-15V Giriş Voltajı
50 Hz
2 adet inverter üstü priz</t>
  </si>
  <si>
    <t>Inverter Priz Kablosu</t>
  </si>
  <si>
    <t>Inverter Priz Kablosu
Uygun görülecek alana priz 
bağlantı kablolaması yapılacak</t>
  </si>
  <si>
    <t>m</t>
  </si>
  <si>
    <t>Magnet Yazı</t>
  </si>
  <si>
    <t>Reflektif Yazı</t>
  </si>
  <si>
    <r>
      <t xml:space="preserve">Ön yüzü reflektif
0,85 MM Magnet kalınlığı
UV Baskı
</t>
    </r>
    <r>
      <rPr>
        <b/>
        <sz val="13"/>
        <color theme="1"/>
        <rFont val="Century Gothic"/>
        <family val="2"/>
        <charset val="162"/>
      </rPr>
      <t>ASTM DE4956 Tip 5 Beyaz Renk</t>
    </r>
  </si>
  <si>
    <t>Kamera</t>
  </si>
  <si>
    <t>Dikiz aynası kamerası</t>
  </si>
  <si>
    <t>Kauçuk Paspas</t>
  </si>
  <si>
    <t>Kauçuk Havuz Paspası</t>
  </si>
  <si>
    <t>Çeki Vinci</t>
  </si>
  <si>
    <t>Arka Kanopi</t>
  </si>
  <si>
    <t xml:space="preserve">5000 KG 
25 Metre Halat
8,5 mm kalınlık
(Kaynak değil montajlı : 8mm ST 52 Sac) 
Joystick kumandalı 
EMC Raporu istenmektedir </t>
  </si>
  <si>
    <t xml:space="preserve">5 ANA PARÇA 
arka taraf camsız </t>
  </si>
  <si>
    <t>Led Aydınlatma</t>
  </si>
  <si>
    <t xml:space="preserve">DKP Sac 1,5MM  
Katoforez kaplama
</t>
  </si>
  <si>
    <t>1080P 30FPs SD karta kayıt yapan 65 GB SD kart</t>
  </si>
  <si>
    <t>Raf Sistemi</t>
  </si>
  <si>
    <t>Kızaklı Raf Sistemi</t>
  </si>
  <si>
    <t>Arka kasa içine
15 Lümen power led</t>
  </si>
  <si>
    <t>Ön Koruma Barı</t>
  </si>
  <si>
    <t>50mm boru 304 Kalite 
Paslanmaz Çelik</t>
  </si>
  <si>
    <t>Arka Koruma Barı</t>
  </si>
  <si>
    <t>60 mm çap
304 Kalite Paslanmaz Çelik</t>
  </si>
  <si>
    <t>(Şartnameden detayları alabilirsiniz)</t>
  </si>
  <si>
    <t>Armas</t>
  </si>
  <si>
    <r>
      <t xml:space="preserve">RG58AU </t>
    </r>
    <r>
      <rPr>
        <b/>
        <sz val="13"/>
        <color theme="1"/>
        <rFont val="Century Gothic"/>
        <family val="2"/>
        <charset val="162"/>
      </rPr>
      <t xml:space="preserve">
(Şartnameden detayları alabilirsiniz)</t>
    </r>
  </si>
  <si>
    <t>FORD RANGER-SAC KANOPILI Olay Yeri İnceleme Aracı</t>
  </si>
  <si>
    <t>Link</t>
  </si>
  <si>
    <t>3 Gün</t>
  </si>
  <si>
    <t>10 Gün</t>
  </si>
  <si>
    <t>15 Gün</t>
  </si>
  <si>
    <t>Set</t>
  </si>
  <si>
    <t>Adet</t>
  </si>
  <si>
    <t>Elektrik Tesiat İçinde Mevcut
Satır 18</t>
  </si>
  <si>
    <t>5 Gün</t>
  </si>
  <si>
    <t>Bemis</t>
  </si>
  <si>
    <t>2000w İnv Üretimde araçlarımzıda kullanılan Ürün fiyatıdır. Fakat piaysada 7 Bin bandında 2000W İn. Mevcut. Bu fiyatlar da dikkate alınabilir</t>
  </si>
  <si>
    <t xml:space="preserve">Kampersan Power Ledli 12v </t>
  </si>
  <si>
    <t>Berkem Otomotiv Herkese verilen Ortak Fiyat</t>
  </si>
  <si>
    <t>Çeki Vinci Tabla (Braket)</t>
  </si>
  <si>
    <t>Braket</t>
  </si>
  <si>
    <t>PWD30 - Winch Bracket (8mm Vinci monte etmek için
kullanılacak tabla)</t>
  </si>
  <si>
    <t>12mm hexa pütürlü yüzey Çekmeceli sigma profil File Separatör
100 kg taşıyacak</t>
  </si>
  <si>
    <t>ArpPlus</t>
  </si>
  <si>
    <t>Avc</t>
  </si>
  <si>
    <t>Montaj Hariç Fiyattır</t>
  </si>
  <si>
    <t>Telsiz Anten
Hazırlığı+Araç ikaz+Siren Anons Sistemi</t>
  </si>
  <si>
    <t>Armas Montaj</t>
  </si>
  <si>
    <t>ÖNEMLİ; Kenimiz montaj yaparsak bu fiyatı düşebiliyoruz.Montaj kolay Armas Teknik Eğitim verecek</t>
  </si>
  <si>
    <t xml:space="preserve">Çizim ve bilgi gerekiyor. Hazır ürün linkteki ürün bulunmuştur.(Sayfa için bu hücreye tıklayınız) ortalama Fiayt Yazılmıştır
</t>
  </si>
  <si>
    <t>20 Gün</t>
  </si>
  <si>
    <t>2 Gün</t>
  </si>
  <si>
    <t>Çeki Vinci Montaj</t>
  </si>
  <si>
    <t>Montaj Tarafımzıca Yapılabilir.</t>
  </si>
  <si>
    <t>Cam Filmi Uygulama</t>
  </si>
  <si>
    <r>
      <t>PAK29 - L Bullbar Chrome (Arka koruma barı 60mm 304
kalite,paslanmaz çelik)</t>
    </r>
    <r>
      <rPr>
        <sz val="13"/>
        <color rgb="FFFF0000"/>
        <rFont val="Century Gothic"/>
        <family val="2"/>
        <charset val="162"/>
      </rPr>
      <t xml:space="preserve"> Montaj Taramızca Yapılacak</t>
    </r>
  </si>
  <si>
    <r>
      <t>PWT29 - Trail Guard Chrome (Ön koruma barı 50mm 304 kalite,
paslanmaz çelik)</t>
    </r>
    <r>
      <rPr>
        <sz val="13"/>
        <color rgb="FFFF0000"/>
        <rFont val="Century Gothic"/>
        <family val="2"/>
        <charset val="162"/>
      </rPr>
      <t xml:space="preserve"> Montaj Taramızca Yapılacak</t>
    </r>
  </si>
  <si>
    <r>
      <t xml:space="preserve">AQM-T80 Standart (DKP Sac 1,5mm Kataforez kaplama)  </t>
    </r>
    <r>
      <rPr>
        <sz val="13"/>
        <color rgb="FFFF0000"/>
        <rFont val="Century Gothic"/>
        <family val="2"/>
        <charset val="162"/>
      </rPr>
      <t>Montaj Taramızca Yapılacak</t>
    </r>
  </si>
  <si>
    <r>
      <t xml:space="preserve">Twogo i990 </t>
    </r>
    <r>
      <rPr>
        <sz val="13"/>
        <color rgb="FFFF0000"/>
        <rFont val="Century Gothic"/>
        <family val="2"/>
        <charset val="162"/>
      </rPr>
      <t xml:space="preserve"> Montaj Taramızca Yapılacak</t>
    </r>
  </si>
  <si>
    <t>Bagaj Havuzu belirtilmemiş-Sefa Kolaylı alınan teklif</t>
  </si>
  <si>
    <t>Tarafmızca yapıalbilir Mi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</si>
</sst>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</numFmts>
  <fonts count="1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b/>
      <sz val="13"/>
      <color theme="1"/>
      <name val="Century Gothic"/>
      <family val="2"/>
      <charset val="162"/>
    </font>
    <font>
      <u/>
      <sz val="11"/>
      <color theme="10"/>
      <name val="Aptos Narrow"/>
      <family val="2"/>
      <charset val="162"/>
      <scheme val="minor"/>
    </font>
    <font>
      <sz val="13"/>
      <color rgb="FFFF0000"/>
      <name val="Century Gothic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44" fontId="7" fillId="3" borderId="1" xfId="2" applyFont="1" applyFill="1" applyBorder="1" applyAlignment="1">
      <alignment horizontal="center" vertical="center"/>
    </xf>
    <xf numFmtId="0" fontId="13" fillId="0" borderId="0" xfId="3" applyFill="1"/>
    <xf numFmtId="0" fontId="13" fillId="5" borderId="1" xfId="3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44" fontId="7" fillId="6" borderId="1" xfId="2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32" xfId="0" applyNumberFormat="1" applyFont="1" applyFill="1" applyBorder="1" applyAlignment="1">
      <alignment horizontal="center"/>
    </xf>
    <xf numFmtId="14" fontId="6" fillId="4" borderId="33" xfId="0" applyNumberFormat="1" applyFont="1" applyFill="1" applyBorder="1" applyAlignment="1">
      <alignment horizontal="center"/>
    </xf>
    <xf numFmtId="14" fontId="6" fillId="4" borderId="34" xfId="0" applyNumberFormat="1" applyFont="1" applyFill="1" applyBorder="1" applyAlignment="1">
      <alignment horizontal="center"/>
    </xf>
  </cellXfs>
  <cellStyles count="4">
    <cellStyle name="Köprü" xfId="3" builtinId="8"/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086110" y="304801"/>
          <a:ext cx="5569528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psiburada.com/yerli-aku-takviye-kablosu-5-30-metre-1200-amper-bitisik-kablo-p-HBCV0000B00DN6?magaza=T%C3%9CRK%C4%B0YE%20UCUZLUK%20PAZARI&amp;utm_source=google&amp;utm_medium=cpc&amp;utm_campaign=sc:hb-ecom.sr:google.md:shop.op:purchase.cid:22889956749&amp;utm_content=agid:185327248793&amp;wt_gl=cpc.pmax.camp22889956749adgr000000&amp;gad_source=4&amp;gad_campaignid=22889956749&amp;gbraid=0AAAAADOiRoYfhpZ-3-5p5Hwdx8qdmj9By&amp;gclid=Cj0KCQjwyr3OBhD0ARIsALlo-OkPJeAWsnbityCcXx6cpz6REGuIJRbLX4m9356KtjLg0I0gCTO7DHMaAhMjEALw_wcB" TargetMode="External"/><Relationship Id="rId2" Type="http://schemas.openxmlformats.org/officeDocument/2006/relationships/hyperlink" Target="https://www.hepsiburada.com/yerli-aku-takviye-kablosu-5-30-metre-1200-amper-bitisik-kablo-p-HBCV0000B00DN6?magaza=T%C3%9CRK%C4%B0YE%20UCUZLUK%20PAZARI&amp;utm_source=google&amp;utm_medium=cpc&amp;utm_campaign=sc:hb-ecom.sr:google.md:shop.op:purchase.cid:22889956749&amp;utm_content=agid:185327248793&amp;wt_gl=cpc.pmax.camp22889956749adgr000000&amp;gad_source=4&amp;gad_campaignid=22889956749&amp;gbraid=0AAAAADOiRoYfhpZ-3-5p5Hwdx8qdmj9By&amp;gclid=Cj0KCQjwyr3OBhD0ARIsALlo-OkPJeAWsnbityCcXx6cpz6REGuIJRbLX4m9356KtjLg0I0gCTO7DHMaAhMjEALw_wcB" TargetMode="External"/><Relationship Id="rId1" Type="http://schemas.openxmlformats.org/officeDocument/2006/relationships/hyperlink" Target="https://www.hepsiburada.com/yerli-aku-takviye-kablosu-5-30-metre-1200-amper-bitisik-kablo-p-HBCV0000B00DN6?magaza=T%C3%9CRK%C4%B0YE%20UCUZLUK%20PAZARI&amp;utm_source=google&amp;utm_medium=cpc&amp;utm_campaign=sc:hb-ecom.sr:google.md:shop.op:purchase.cid:22889956749&amp;utm_content=agid:185327248793&amp;wt_gl=cpc.pmax.camp22889956749adgr000000&amp;gad_source=4&amp;gad_campaignid=22889956749&amp;gbraid=0AAAAADOiRoYfhpZ-3-5p5Hwdx8qdmj9By&amp;gclid=Cj0KCQjwyr3OBhD0ARIsALlo-OkPJeAWsnbityCcXx6cpz6REGuIJRbLX4m9356KtjLg0I0gCTO7DHMaAhMjEALw_wcB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otoaksesuar.com/universal-pick-up-kasa-ici-surgulu-cekmece-yarim?srsltid=AfmBOop4f7-XdOlTyaxWBcnzvWyfGY88JpA7OxQql9OJztgiivUxXu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N59"/>
  <sheetViews>
    <sheetView tabSelected="1" topLeftCell="A34" zoomScale="55" zoomScaleNormal="55" workbookViewId="0">
      <selection activeCell="M36" sqref="M36"/>
    </sheetView>
  </sheetViews>
  <sheetFormatPr defaultColWidth="9.109375" defaultRowHeight="13.8" x14ac:dyDescent="0.25"/>
  <cols>
    <col min="1" max="1" width="27.6640625" style="1" customWidth="1"/>
    <col min="2" max="2" width="33.6640625" style="1" customWidth="1"/>
    <col min="3" max="3" width="34" style="1" customWidth="1"/>
    <col min="4" max="4" width="15.88671875" style="1" customWidth="1"/>
    <col min="5" max="6" width="16.33203125" style="1" customWidth="1"/>
    <col min="7" max="7" width="18.109375" style="1" customWidth="1"/>
    <col min="8" max="8" width="18.6640625" style="1" customWidth="1"/>
    <col min="9" max="9" width="50.109375" style="1" customWidth="1"/>
    <col min="10" max="10" width="23.109375" style="1" customWidth="1"/>
    <col min="11" max="11" width="20.6640625" style="3" customWidth="1"/>
    <col min="12" max="12" width="25.44140625" style="1" customWidth="1"/>
    <col min="13" max="13" width="19" style="1" customWidth="1"/>
    <col min="14" max="16384" width="9.109375" style="1"/>
  </cols>
  <sheetData>
    <row r="1" spans="1:14" ht="12" customHeight="1" thickBot="1" x14ac:dyDescent="0.3"/>
    <row r="2" spans="1:14" ht="42.6" customHeight="1" x14ac:dyDescent="0.25">
      <c r="A2" s="21"/>
      <c r="B2" s="30" t="s">
        <v>24</v>
      </c>
      <c r="C2" s="72"/>
      <c r="D2" s="73"/>
      <c r="E2" s="73"/>
      <c r="F2" s="73"/>
      <c r="G2" s="73"/>
      <c r="H2" s="73"/>
      <c r="I2" s="73"/>
      <c r="J2" s="73"/>
      <c r="K2" s="74"/>
    </row>
    <row r="3" spans="1:14" ht="41.4" customHeight="1" x14ac:dyDescent="0.25">
      <c r="A3" s="22"/>
      <c r="B3" s="31" t="s">
        <v>26</v>
      </c>
      <c r="C3" s="75"/>
      <c r="D3" s="76"/>
      <c r="E3" s="76"/>
      <c r="F3" s="76"/>
      <c r="G3" s="76"/>
      <c r="H3" s="76"/>
      <c r="I3" s="76"/>
      <c r="J3" s="76"/>
      <c r="K3" s="77"/>
    </row>
    <row r="4" spans="1:14" ht="41.4" customHeight="1" thickBot="1" x14ac:dyDescent="0.3">
      <c r="A4" s="23"/>
      <c r="B4" s="32" t="s">
        <v>25</v>
      </c>
      <c r="C4" s="78"/>
      <c r="D4" s="79"/>
      <c r="E4" s="79"/>
      <c r="F4" s="79"/>
      <c r="G4" s="79"/>
      <c r="H4" s="79"/>
      <c r="I4" s="79"/>
      <c r="J4" s="79"/>
      <c r="K4" s="80"/>
    </row>
    <row r="5" spans="1:14" ht="33" customHeight="1" thickBot="1" x14ac:dyDescent="0.3">
      <c r="C5" s="5"/>
      <c r="K5" s="1"/>
    </row>
    <row r="6" spans="1:14" ht="17.399999999999999" x14ac:dyDescent="0.3">
      <c r="A6" s="87" t="s">
        <v>30</v>
      </c>
      <c r="B6" s="88"/>
      <c r="C6" s="89">
        <v>46115</v>
      </c>
      <c r="D6" s="90"/>
      <c r="E6" s="90"/>
      <c r="F6" s="90"/>
      <c r="G6" s="90"/>
      <c r="H6" s="91"/>
      <c r="K6" s="1"/>
    </row>
    <row r="7" spans="1:14" ht="17.399999999999999" x14ac:dyDescent="0.3">
      <c r="A7" s="84" t="s">
        <v>31</v>
      </c>
      <c r="B7" s="85"/>
      <c r="C7" s="81">
        <v>46118</v>
      </c>
      <c r="D7" s="82"/>
      <c r="E7" s="82"/>
      <c r="F7" s="82"/>
      <c r="G7" s="82"/>
      <c r="H7" s="83"/>
      <c r="K7" s="1"/>
    </row>
    <row r="8" spans="1:14" ht="20.399999999999999" customHeight="1" x14ac:dyDescent="0.3">
      <c r="A8" s="84" t="s">
        <v>27</v>
      </c>
      <c r="B8" s="85"/>
      <c r="C8" s="86" t="s">
        <v>29</v>
      </c>
      <c r="D8" s="82"/>
      <c r="E8" s="82"/>
      <c r="F8" s="82"/>
      <c r="G8" s="82"/>
      <c r="H8" s="83"/>
      <c r="K8" s="1"/>
    </row>
    <row r="9" spans="1:14" s="4" customFormat="1" ht="18.899999999999999" customHeight="1" thickBot="1" x14ac:dyDescent="0.35">
      <c r="A9" s="62" t="s">
        <v>8</v>
      </c>
      <c r="B9" s="63"/>
      <c r="C9" s="58" t="s">
        <v>32</v>
      </c>
      <c r="D9" s="58"/>
      <c r="E9" s="58"/>
      <c r="F9" s="58"/>
      <c r="G9" s="58"/>
      <c r="H9" s="59"/>
      <c r="I9" s="1"/>
      <c r="J9" s="1"/>
    </row>
    <row r="10" spans="1:14" s="4" customFormat="1" ht="20.399999999999999" customHeight="1" x14ac:dyDescent="0.3">
      <c r="A10" s="62" t="s">
        <v>15</v>
      </c>
      <c r="B10" s="63"/>
      <c r="C10" s="58" t="s">
        <v>16</v>
      </c>
      <c r="D10" s="58"/>
      <c r="E10" s="58"/>
      <c r="F10" s="58"/>
      <c r="G10" s="58"/>
      <c r="H10" s="59"/>
      <c r="I10" s="1"/>
      <c r="J10" s="33" t="s">
        <v>13</v>
      </c>
      <c r="K10" s="34" t="s">
        <v>11</v>
      </c>
    </row>
    <row r="11" spans="1:14" s="4" customFormat="1" ht="21" customHeight="1" thickBot="1" x14ac:dyDescent="0.35">
      <c r="A11" s="62" t="s">
        <v>9</v>
      </c>
      <c r="B11" s="63"/>
      <c r="C11" s="58" t="s">
        <v>72</v>
      </c>
      <c r="D11" s="58"/>
      <c r="E11" s="58"/>
      <c r="F11" s="58"/>
      <c r="G11" s="58"/>
      <c r="H11" s="59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62" t="s">
        <v>17</v>
      </c>
      <c r="B12" s="63"/>
      <c r="C12" s="58" t="s">
        <v>33</v>
      </c>
      <c r="D12" s="58"/>
      <c r="E12" s="58"/>
      <c r="F12" s="58"/>
      <c r="G12" s="58"/>
      <c r="H12" s="59"/>
      <c r="I12" s="1"/>
      <c r="J12" s="1"/>
      <c r="K12" s="1"/>
      <c r="L12" s="1"/>
      <c r="M12" s="1"/>
      <c r="N12" s="1"/>
    </row>
    <row r="13" spans="1:14" s="4" customFormat="1" ht="21" customHeight="1" x14ac:dyDescent="0.3">
      <c r="A13" s="62" t="s">
        <v>10</v>
      </c>
      <c r="B13" s="63"/>
      <c r="C13" s="58"/>
      <c r="D13" s="58"/>
      <c r="E13" s="58"/>
      <c r="F13" s="58"/>
      <c r="G13" s="58"/>
      <c r="H13" s="59"/>
      <c r="I13" s="1"/>
      <c r="J13" s="1"/>
      <c r="K13" s="1"/>
      <c r="L13" s="1"/>
      <c r="M13" s="1"/>
      <c r="N13" s="1"/>
    </row>
    <row r="14" spans="1:14" s="4" customFormat="1" ht="18.899999999999999" customHeight="1" thickBot="1" x14ac:dyDescent="0.35">
      <c r="A14" s="60" t="s">
        <v>14</v>
      </c>
      <c r="B14" s="61"/>
      <c r="C14" s="64">
        <v>50</v>
      </c>
      <c r="D14" s="64"/>
      <c r="E14" s="64"/>
      <c r="F14" s="64"/>
      <c r="G14" s="64"/>
      <c r="H14" s="65"/>
      <c r="I14" s="1"/>
      <c r="J14" s="1"/>
      <c r="K14" s="1"/>
      <c r="L14" s="1"/>
      <c r="M14" s="1"/>
    </row>
    <row r="15" spans="1:14" ht="18.600000000000001" customHeight="1" thickBot="1" x14ac:dyDescent="0.3">
      <c r="K15" s="1"/>
    </row>
    <row r="16" spans="1:14" ht="27.6" customHeight="1" x14ac:dyDescent="0.3">
      <c r="A16" s="27" t="s">
        <v>0</v>
      </c>
      <c r="B16" s="28" t="s">
        <v>3</v>
      </c>
      <c r="C16" s="28" t="s">
        <v>22</v>
      </c>
      <c r="D16" s="28" t="s">
        <v>4</v>
      </c>
      <c r="E16" s="28" t="s">
        <v>7</v>
      </c>
      <c r="F16" s="28" t="s">
        <v>28</v>
      </c>
      <c r="G16" s="28" t="s">
        <v>5</v>
      </c>
      <c r="H16" s="28" t="s">
        <v>1</v>
      </c>
      <c r="I16" s="29" t="s">
        <v>21</v>
      </c>
      <c r="J16" s="28" t="s">
        <v>23</v>
      </c>
      <c r="K16" s="28" t="s">
        <v>2</v>
      </c>
      <c r="L16" s="28" t="s">
        <v>6</v>
      </c>
    </row>
    <row r="17" spans="1:13" ht="71.400000000000006" customHeight="1" x14ac:dyDescent="0.25">
      <c r="A17" s="14" t="s">
        <v>100</v>
      </c>
      <c r="B17" s="14"/>
      <c r="C17" s="15"/>
      <c r="D17" s="14"/>
      <c r="E17" s="17"/>
      <c r="F17" s="17"/>
      <c r="G17" s="17">
        <v>1</v>
      </c>
      <c r="H17" s="17" t="s">
        <v>77</v>
      </c>
      <c r="I17" s="19" t="s">
        <v>106</v>
      </c>
      <c r="J17" s="19"/>
      <c r="K17" s="36">
        <v>2000</v>
      </c>
      <c r="L17" s="36">
        <f>K17*G17</f>
        <v>2000</v>
      </c>
    </row>
    <row r="18" spans="1:13" ht="51.6" customHeight="1" x14ac:dyDescent="0.25">
      <c r="A18" s="14" t="s">
        <v>34</v>
      </c>
      <c r="B18" s="15"/>
      <c r="C18" s="15" t="s">
        <v>35</v>
      </c>
      <c r="D18" s="16"/>
      <c r="E18" s="17"/>
      <c r="F18" s="17"/>
      <c r="G18" s="17">
        <v>1</v>
      </c>
      <c r="H18" s="17" t="s">
        <v>77</v>
      </c>
      <c r="I18" s="18"/>
      <c r="J18" s="19"/>
      <c r="K18" s="36">
        <v>4000</v>
      </c>
      <c r="L18" s="36">
        <f t="shared" ref="L18:L37" si="0">K18*$G18</f>
        <v>4000</v>
      </c>
    </row>
    <row r="19" spans="1:13" ht="78" customHeight="1" x14ac:dyDescent="0.3">
      <c r="A19" s="14" t="s">
        <v>36</v>
      </c>
      <c r="B19" s="14" t="s">
        <v>37</v>
      </c>
      <c r="C19" s="15" t="s">
        <v>38</v>
      </c>
      <c r="D19" s="16"/>
      <c r="E19" s="38" t="s">
        <v>73</v>
      </c>
      <c r="F19" s="17"/>
      <c r="G19" s="17">
        <v>2</v>
      </c>
      <c r="H19" s="17" t="s">
        <v>78</v>
      </c>
      <c r="I19" s="19" t="s">
        <v>73</v>
      </c>
      <c r="J19" s="20" t="s">
        <v>74</v>
      </c>
      <c r="K19" s="36">
        <v>875</v>
      </c>
      <c r="L19" s="36">
        <f t="shared" si="0"/>
        <v>1750</v>
      </c>
      <c r="M19" s="37" t="s">
        <v>73</v>
      </c>
    </row>
    <row r="20" spans="1:13" ht="55.95" customHeight="1" x14ac:dyDescent="0.25">
      <c r="A20" s="14" t="s">
        <v>39</v>
      </c>
      <c r="B20" s="14" t="s">
        <v>39</v>
      </c>
      <c r="C20" s="14" t="s">
        <v>40</v>
      </c>
      <c r="D20" s="16"/>
      <c r="E20" s="17"/>
      <c r="F20" s="17"/>
      <c r="G20" s="17">
        <v>2</v>
      </c>
      <c r="H20" s="17" t="s">
        <v>78</v>
      </c>
      <c r="I20" s="18"/>
      <c r="J20" s="19" t="s">
        <v>74</v>
      </c>
      <c r="K20" s="36">
        <v>130</v>
      </c>
      <c r="L20" s="36">
        <f t="shared" si="0"/>
        <v>260</v>
      </c>
    </row>
    <row r="21" spans="1:13" ht="90.6" customHeight="1" x14ac:dyDescent="0.25">
      <c r="A21" s="14" t="s">
        <v>41</v>
      </c>
      <c r="B21" s="14" t="s">
        <v>41</v>
      </c>
      <c r="C21" s="15" t="s">
        <v>44</v>
      </c>
      <c r="D21" s="16"/>
      <c r="E21" s="17"/>
      <c r="F21" s="17"/>
      <c r="G21" s="17">
        <v>1</v>
      </c>
      <c r="H21" s="17" t="s">
        <v>78</v>
      </c>
      <c r="I21" s="44" t="s">
        <v>82</v>
      </c>
      <c r="J21" s="20" t="s">
        <v>76</v>
      </c>
      <c r="K21" s="36">
        <v>11850</v>
      </c>
      <c r="L21" s="36">
        <f t="shared" si="0"/>
        <v>11850</v>
      </c>
    </row>
    <row r="22" spans="1:13" ht="73.95" customHeight="1" x14ac:dyDescent="0.25">
      <c r="A22" s="39" t="s">
        <v>45</v>
      </c>
      <c r="B22" s="39"/>
      <c r="C22" s="40" t="s">
        <v>46</v>
      </c>
      <c r="D22" s="41"/>
      <c r="E22" s="41"/>
      <c r="F22" s="41"/>
      <c r="G22" s="41">
        <v>6</v>
      </c>
      <c r="H22" s="41" t="s">
        <v>47</v>
      </c>
      <c r="I22" s="43" t="s">
        <v>79</v>
      </c>
      <c r="J22" s="41"/>
      <c r="K22" s="42"/>
      <c r="L22" s="42">
        <f t="shared" si="0"/>
        <v>0</v>
      </c>
    </row>
    <row r="23" spans="1:13" ht="66.599999999999994" customHeight="1" x14ac:dyDescent="0.25">
      <c r="A23" s="14" t="s">
        <v>42</v>
      </c>
      <c r="B23" s="15"/>
      <c r="C23" s="14" t="s">
        <v>43</v>
      </c>
      <c r="D23" s="16"/>
      <c r="E23" s="17"/>
      <c r="F23" s="17"/>
      <c r="G23" s="17">
        <v>1</v>
      </c>
      <c r="H23" s="17" t="s">
        <v>78</v>
      </c>
      <c r="I23" s="18" t="s">
        <v>81</v>
      </c>
      <c r="J23" s="19" t="s">
        <v>80</v>
      </c>
      <c r="K23" s="36">
        <v>800</v>
      </c>
      <c r="L23" s="36">
        <f t="shared" si="0"/>
        <v>800</v>
      </c>
    </row>
    <row r="24" spans="1:13" ht="96.6" customHeight="1" x14ac:dyDescent="0.25">
      <c r="A24" s="14" t="s">
        <v>48</v>
      </c>
      <c r="B24" s="14" t="s">
        <v>49</v>
      </c>
      <c r="C24" s="15" t="s">
        <v>50</v>
      </c>
      <c r="D24" s="16"/>
      <c r="E24" s="17"/>
      <c r="F24" s="17"/>
      <c r="G24" s="17">
        <v>1</v>
      </c>
      <c r="H24" s="17" t="s">
        <v>78</v>
      </c>
      <c r="I24" s="18" t="s">
        <v>84</v>
      </c>
      <c r="J24" s="20" t="s">
        <v>80</v>
      </c>
      <c r="K24" s="36">
        <v>8250</v>
      </c>
      <c r="L24" s="36">
        <f t="shared" si="0"/>
        <v>8250</v>
      </c>
    </row>
    <row r="25" spans="1:13" ht="68.400000000000006" customHeight="1" x14ac:dyDescent="0.25">
      <c r="A25" s="14" t="s">
        <v>51</v>
      </c>
      <c r="B25" s="14" t="s">
        <v>52</v>
      </c>
      <c r="C25" s="15" t="s">
        <v>61</v>
      </c>
      <c r="D25" s="16"/>
      <c r="E25" s="17"/>
      <c r="F25" s="17"/>
      <c r="G25" s="17">
        <v>1</v>
      </c>
      <c r="H25" s="17" t="s">
        <v>78</v>
      </c>
      <c r="I25" s="18" t="s">
        <v>104</v>
      </c>
      <c r="J25" s="20" t="s">
        <v>80</v>
      </c>
      <c r="K25" s="36">
        <v>2230</v>
      </c>
      <c r="L25" s="36">
        <f t="shared" si="0"/>
        <v>2230</v>
      </c>
    </row>
    <row r="26" spans="1:13" ht="78" customHeight="1" x14ac:dyDescent="0.25">
      <c r="A26" s="14" t="s">
        <v>53</v>
      </c>
      <c r="B26" s="14" t="s">
        <v>54</v>
      </c>
      <c r="C26" s="15"/>
      <c r="D26" s="16"/>
      <c r="E26" s="17"/>
      <c r="F26" s="17"/>
      <c r="G26" s="17">
        <v>1</v>
      </c>
      <c r="H26" s="17" t="s">
        <v>77</v>
      </c>
      <c r="I26" s="18" t="s">
        <v>105</v>
      </c>
      <c r="J26" s="20" t="s">
        <v>75</v>
      </c>
      <c r="K26" s="36">
        <v>6250</v>
      </c>
      <c r="L26" s="36">
        <f t="shared" si="0"/>
        <v>6250</v>
      </c>
    </row>
    <row r="27" spans="1:13" ht="139.5" customHeight="1" x14ac:dyDescent="0.25">
      <c r="A27" s="14" t="s">
        <v>55</v>
      </c>
      <c r="B27" s="14" t="s">
        <v>55</v>
      </c>
      <c r="C27" s="15" t="s">
        <v>57</v>
      </c>
      <c r="D27" s="16" t="s">
        <v>90</v>
      </c>
      <c r="E27" s="17"/>
      <c r="F27" s="17"/>
      <c r="G27" s="17">
        <v>1</v>
      </c>
      <c r="H27" s="17" t="s">
        <v>78</v>
      </c>
      <c r="I27" s="18" t="s">
        <v>91</v>
      </c>
      <c r="J27" s="20" t="s">
        <v>80</v>
      </c>
      <c r="K27" s="36">
        <v>7500</v>
      </c>
      <c r="L27" s="36">
        <f t="shared" si="0"/>
        <v>7500</v>
      </c>
    </row>
    <row r="28" spans="1:13" ht="126" customHeight="1" x14ac:dyDescent="0.25">
      <c r="A28" s="14" t="s">
        <v>85</v>
      </c>
      <c r="B28" s="14" t="s">
        <v>86</v>
      </c>
      <c r="C28" s="15"/>
      <c r="D28" s="16"/>
      <c r="E28" s="17"/>
      <c r="F28" s="17"/>
      <c r="G28" s="17">
        <v>1</v>
      </c>
      <c r="H28" s="17" t="s">
        <v>78</v>
      </c>
      <c r="I28" s="18" t="s">
        <v>87</v>
      </c>
      <c r="J28" s="20" t="s">
        <v>75</v>
      </c>
      <c r="K28" s="36">
        <v>4000</v>
      </c>
      <c r="L28" s="36">
        <f>K28*G28</f>
        <v>4000</v>
      </c>
    </row>
    <row r="29" spans="1:13" ht="126" customHeight="1" x14ac:dyDescent="0.25">
      <c r="A29" s="14" t="s">
        <v>98</v>
      </c>
      <c r="B29" s="14"/>
      <c r="C29" s="15"/>
      <c r="D29" s="16"/>
      <c r="E29" s="17"/>
      <c r="F29" s="17"/>
      <c r="G29" s="17">
        <v>1</v>
      </c>
      <c r="H29" s="17" t="s">
        <v>77</v>
      </c>
      <c r="I29" s="18" t="s">
        <v>99</v>
      </c>
      <c r="J29" s="20" t="s">
        <v>80</v>
      </c>
      <c r="K29" s="36">
        <v>4500</v>
      </c>
      <c r="L29" s="36">
        <f>K29*G29</f>
        <v>4500</v>
      </c>
    </row>
    <row r="30" spans="1:13" ht="78" customHeight="1" x14ac:dyDescent="0.25">
      <c r="A30" s="14" t="s">
        <v>56</v>
      </c>
      <c r="B30" s="15" t="s">
        <v>60</v>
      </c>
      <c r="C30" s="15" t="s">
        <v>58</v>
      </c>
      <c r="D30" s="16" t="s">
        <v>89</v>
      </c>
      <c r="E30" s="17"/>
      <c r="F30" s="17"/>
      <c r="G30" s="17">
        <v>1</v>
      </c>
      <c r="H30" s="17" t="s">
        <v>78</v>
      </c>
      <c r="I30" s="18" t="s">
        <v>103</v>
      </c>
      <c r="J30" s="20" t="s">
        <v>96</v>
      </c>
      <c r="K30" s="36">
        <v>52000</v>
      </c>
      <c r="L30" s="36">
        <f t="shared" si="0"/>
        <v>52000</v>
      </c>
    </row>
    <row r="31" spans="1:13" ht="78" customHeight="1" x14ac:dyDescent="0.25">
      <c r="A31" s="14" t="s">
        <v>59</v>
      </c>
      <c r="B31" s="14"/>
      <c r="C31" s="15" t="s">
        <v>64</v>
      </c>
      <c r="D31" s="16"/>
      <c r="E31" s="17"/>
      <c r="F31" s="17"/>
      <c r="G31" s="17">
        <v>2</v>
      </c>
      <c r="H31" s="17" t="s">
        <v>78</v>
      </c>
      <c r="I31" s="18" t="s">
        <v>83</v>
      </c>
      <c r="J31" s="20" t="s">
        <v>97</v>
      </c>
      <c r="K31" s="36">
        <v>750</v>
      </c>
      <c r="L31" s="36">
        <f t="shared" si="0"/>
        <v>1500</v>
      </c>
    </row>
    <row r="32" spans="1:13" ht="78" customHeight="1" x14ac:dyDescent="0.25">
      <c r="A32" s="39" t="s">
        <v>62</v>
      </c>
      <c r="B32" s="39" t="s">
        <v>63</v>
      </c>
      <c r="C32" s="40" t="s">
        <v>88</v>
      </c>
      <c r="D32" s="41"/>
      <c r="E32" s="17"/>
      <c r="F32" s="17"/>
      <c r="G32" s="17">
        <v>1</v>
      </c>
      <c r="H32" s="17" t="s">
        <v>78</v>
      </c>
      <c r="I32" s="45" t="s">
        <v>95</v>
      </c>
      <c r="J32" s="41" t="s">
        <v>96</v>
      </c>
      <c r="K32" s="42">
        <v>15000</v>
      </c>
      <c r="L32" s="42">
        <f t="shared" si="0"/>
        <v>15000</v>
      </c>
    </row>
    <row r="33" spans="1:12" ht="87" customHeight="1" x14ac:dyDescent="0.25">
      <c r="A33" s="14" t="s">
        <v>65</v>
      </c>
      <c r="B33" s="14" t="s">
        <v>65</v>
      </c>
      <c r="C33" s="15" t="s">
        <v>66</v>
      </c>
      <c r="D33" s="16" t="s">
        <v>89</v>
      </c>
      <c r="E33" s="17"/>
      <c r="F33" s="17"/>
      <c r="G33" s="17">
        <v>1</v>
      </c>
      <c r="H33" s="17" t="s">
        <v>78</v>
      </c>
      <c r="I33" s="18" t="s">
        <v>102</v>
      </c>
      <c r="J33" s="20" t="s">
        <v>96</v>
      </c>
      <c r="K33" s="36">
        <v>5100</v>
      </c>
      <c r="L33" s="36">
        <f t="shared" si="0"/>
        <v>5100</v>
      </c>
    </row>
    <row r="34" spans="1:12" ht="87" customHeight="1" x14ac:dyDescent="0.25">
      <c r="A34" s="14" t="s">
        <v>67</v>
      </c>
      <c r="B34" s="14" t="s">
        <v>67</v>
      </c>
      <c r="C34" s="15" t="s">
        <v>68</v>
      </c>
      <c r="D34" s="16" t="s">
        <v>89</v>
      </c>
      <c r="E34" s="17"/>
      <c r="F34" s="17"/>
      <c r="G34" s="17">
        <v>1</v>
      </c>
      <c r="H34" s="17" t="s">
        <v>78</v>
      </c>
      <c r="I34" s="18" t="s">
        <v>101</v>
      </c>
      <c r="J34" s="20" t="s">
        <v>96</v>
      </c>
      <c r="K34" s="36">
        <v>4600</v>
      </c>
      <c r="L34" s="36">
        <f t="shared" si="0"/>
        <v>4600</v>
      </c>
    </row>
    <row r="35" spans="1:12" ht="69.599999999999994" customHeight="1" x14ac:dyDescent="0.25">
      <c r="A35" s="15" t="s">
        <v>92</v>
      </c>
      <c r="B35" s="14"/>
      <c r="C35" s="15" t="s">
        <v>71</v>
      </c>
      <c r="D35" s="16" t="s">
        <v>70</v>
      </c>
      <c r="E35" s="17"/>
      <c r="F35" s="17"/>
      <c r="G35" s="17">
        <v>1</v>
      </c>
      <c r="H35" s="17" t="s">
        <v>78</v>
      </c>
      <c r="I35" s="18"/>
      <c r="J35" s="20" t="s">
        <v>75</v>
      </c>
      <c r="K35" s="36">
        <v>30875</v>
      </c>
      <c r="L35" s="36">
        <f t="shared" si="0"/>
        <v>30875</v>
      </c>
    </row>
    <row r="36" spans="1:12" ht="87" customHeight="1" x14ac:dyDescent="0.25">
      <c r="A36" s="14" t="s">
        <v>93</v>
      </c>
      <c r="B36" s="14"/>
      <c r="C36" s="15" t="s">
        <v>69</v>
      </c>
      <c r="D36" s="16" t="s">
        <v>70</v>
      </c>
      <c r="E36" s="17"/>
      <c r="F36" s="17"/>
      <c r="G36" s="17">
        <v>1</v>
      </c>
      <c r="H36" s="17" t="s">
        <v>78</v>
      </c>
      <c r="I36" s="18" t="s">
        <v>94</v>
      </c>
      <c r="J36" s="20"/>
      <c r="K36" s="36">
        <v>2500</v>
      </c>
      <c r="L36" s="36">
        <f t="shared" si="0"/>
        <v>2500</v>
      </c>
    </row>
    <row r="37" spans="1:12" ht="73.95" customHeight="1" x14ac:dyDescent="0.25">
      <c r="A37" s="14"/>
      <c r="B37" s="14"/>
      <c r="C37" s="15"/>
      <c r="D37" s="16"/>
      <c r="E37" s="17"/>
      <c r="F37" s="17"/>
      <c r="G37" s="17"/>
      <c r="H37" s="17"/>
      <c r="I37" s="18"/>
      <c r="J37" s="20"/>
      <c r="K37" s="36"/>
      <c r="L37" s="36">
        <f t="shared" si="0"/>
        <v>0</v>
      </c>
    </row>
    <row r="39" spans="1:12" ht="27.6" customHeight="1" thickBot="1" x14ac:dyDescent="0.3">
      <c r="A39" s="8"/>
      <c r="B39" s="9"/>
      <c r="C39" s="8"/>
      <c r="D39" s="10"/>
      <c r="E39" s="10"/>
      <c r="F39" s="10"/>
      <c r="G39" s="10"/>
      <c r="H39" s="11"/>
      <c r="I39" s="9"/>
      <c r="J39" s="12"/>
      <c r="K39" s="13"/>
      <c r="L39" s="13"/>
    </row>
    <row r="40" spans="1:12" ht="27.6" customHeight="1" thickBot="1" x14ac:dyDescent="0.3">
      <c r="A40" s="8"/>
      <c r="B40" s="9"/>
      <c r="C40" s="8"/>
      <c r="D40" s="10"/>
      <c r="E40" s="10"/>
      <c r="F40" s="10"/>
      <c r="G40" s="10"/>
      <c r="H40" s="11"/>
      <c r="I40" s="9"/>
      <c r="J40" s="12"/>
      <c r="K40" s="24" t="s">
        <v>12</v>
      </c>
      <c r="L40" s="25">
        <f>SUM(L17:L37)</f>
        <v>164965</v>
      </c>
    </row>
    <row r="41" spans="1:12" ht="27.6" customHeight="1" thickBot="1" x14ac:dyDescent="0.3">
      <c r="A41" s="8"/>
      <c r="B41" s="9"/>
      <c r="C41" s="8"/>
      <c r="D41" s="10"/>
      <c r="E41" s="10"/>
      <c r="F41" s="10"/>
      <c r="G41" s="10"/>
      <c r="H41" s="11"/>
      <c r="I41" s="9"/>
      <c r="J41" s="12"/>
      <c r="K41" s="24" t="s">
        <v>11</v>
      </c>
      <c r="L41" s="26">
        <f>L40/K11</f>
        <v>3201.2334155480994</v>
      </c>
    </row>
    <row r="42" spans="1:12" ht="20.399999999999999" customHeight="1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L42" s="2"/>
    </row>
    <row r="43" spans="1:12" ht="17.25" customHeight="1" x14ac:dyDescent="0.25">
      <c r="A43" s="55" t="s">
        <v>18</v>
      </c>
      <c r="B43" s="66"/>
      <c r="C43" s="66"/>
      <c r="D43" s="66"/>
      <c r="E43" s="66"/>
      <c r="F43" s="66"/>
      <c r="G43" s="66"/>
      <c r="H43" s="66"/>
      <c r="I43" s="66"/>
      <c r="J43" s="67"/>
    </row>
    <row r="44" spans="1:12" x14ac:dyDescent="0.25">
      <c r="A44" s="56"/>
      <c r="B44" s="68"/>
      <c r="C44" s="68"/>
      <c r="D44" s="68"/>
      <c r="E44" s="68"/>
      <c r="F44" s="68"/>
      <c r="G44" s="68"/>
      <c r="H44" s="68"/>
      <c r="I44" s="68"/>
      <c r="J44" s="69"/>
    </row>
    <row r="45" spans="1:12" x14ac:dyDescent="0.25">
      <c r="A45" s="56"/>
      <c r="B45" s="68"/>
      <c r="C45" s="68"/>
      <c r="D45" s="68"/>
      <c r="E45" s="68"/>
      <c r="F45" s="68"/>
      <c r="G45" s="68"/>
      <c r="H45" s="68"/>
      <c r="I45" s="68"/>
      <c r="J45" s="69"/>
    </row>
    <row r="46" spans="1:12" ht="51" customHeight="1" x14ac:dyDescent="0.25">
      <c r="A46" s="56"/>
      <c r="B46" s="68"/>
      <c r="C46" s="68"/>
      <c r="D46" s="68"/>
      <c r="E46" s="68"/>
      <c r="F46" s="68"/>
      <c r="G46" s="68"/>
      <c r="H46" s="68"/>
      <c r="I46" s="68"/>
      <c r="J46" s="69"/>
    </row>
    <row r="47" spans="1:12" x14ac:dyDescent="0.25">
      <c r="A47" s="56"/>
      <c r="B47" s="68"/>
      <c r="C47" s="68"/>
      <c r="D47" s="68"/>
      <c r="E47" s="68"/>
      <c r="F47" s="68"/>
      <c r="G47" s="68"/>
      <c r="H47" s="68"/>
      <c r="I47" s="68"/>
      <c r="J47" s="69"/>
    </row>
    <row r="48" spans="1:12" ht="14.4" thickBot="1" x14ac:dyDescent="0.3">
      <c r="A48" s="57"/>
      <c r="B48" s="70"/>
      <c r="C48" s="70"/>
      <c r="D48" s="70"/>
      <c r="E48" s="70"/>
      <c r="F48" s="70"/>
      <c r="G48" s="70"/>
      <c r="H48" s="70"/>
      <c r="I48" s="70"/>
      <c r="J48" s="71"/>
    </row>
    <row r="49" spans="1:10" ht="21.6" thickBot="1" x14ac:dyDescent="0.4">
      <c r="A49" s="35"/>
    </row>
    <row r="50" spans="1:10" ht="13.95" customHeight="1" x14ac:dyDescent="0.25">
      <c r="A50" s="46" t="s">
        <v>19</v>
      </c>
      <c r="B50" s="49" t="s">
        <v>20</v>
      </c>
      <c r="C50" s="49"/>
      <c r="D50" s="49"/>
      <c r="E50" s="49"/>
      <c r="F50" s="49"/>
      <c r="G50" s="49"/>
      <c r="H50" s="49"/>
      <c r="I50" s="49"/>
      <c r="J50" s="50"/>
    </row>
    <row r="51" spans="1:10" ht="13.95" customHeight="1" x14ac:dyDescent="0.25">
      <c r="A51" s="47"/>
      <c r="B51" s="51"/>
      <c r="C51" s="51"/>
      <c r="D51" s="51"/>
      <c r="E51" s="51"/>
      <c r="F51" s="51"/>
      <c r="G51" s="51"/>
      <c r="H51" s="51"/>
      <c r="I51" s="51"/>
      <c r="J51" s="52"/>
    </row>
    <row r="52" spans="1:10" ht="13.95" customHeight="1" x14ac:dyDescent="0.25">
      <c r="A52" s="47"/>
      <c r="B52" s="51"/>
      <c r="C52" s="51"/>
      <c r="D52" s="51"/>
      <c r="E52" s="51"/>
      <c r="F52" s="51"/>
      <c r="G52" s="51"/>
      <c r="H52" s="51"/>
      <c r="I52" s="51"/>
      <c r="J52" s="52"/>
    </row>
    <row r="53" spans="1:10" ht="13.95" customHeight="1" x14ac:dyDescent="0.25">
      <c r="A53" s="47"/>
      <c r="B53" s="51"/>
      <c r="C53" s="51"/>
      <c r="D53" s="51"/>
      <c r="E53" s="51"/>
      <c r="F53" s="51"/>
      <c r="G53" s="51"/>
      <c r="H53" s="51"/>
      <c r="I53" s="51"/>
      <c r="J53" s="52"/>
    </row>
    <row r="54" spans="1:10" ht="13.95" customHeight="1" x14ac:dyDescent="0.25">
      <c r="A54" s="47"/>
      <c r="B54" s="51"/>
      <c r="C54" s="51"/>
      <c r="D54" s="51"/>
      <c r="E54" s="51"/>
      <c r="F54" s="51"/>
      <c r="G54" s="51"/>
      <c r="H54" s="51"/>
      <c r="I54" s="51"/>
      <c r="J54" s="52"/>
    </row>
    <row r="55" spans="1:10" ht="13.95" customHeight="1" x14ac:dyDescent="0.25">
      <c r="A55" s="47"/>
      <c r="B55" s="51"/>
      <c r="C55" s="51"/>
      <c r="D55" s="51"/>
      <c r="E55" s="51"/>
      <c r="F55" s="51"/>
      <c r="G55" s="51"/>
      <c r="H55" s="51"/>
      <c r="I55" s="51"/>
      <c r="J55" s="52"/>
    </row>
    <row r="56" spans="1:10" ht="13.95" customHeight="1" x14ac:dyDescent="0.25">
      <c r="A56" s="47"/>
      <c r="B56" s="51"/>
      <c r="C56" s="51"/>
      <c r="D56" s="51"/>
      <c r="E56" s="51"/>
      <c r="F56" s="51"/>
      <c r="G56" s="51"/>
      <c r="H56" s="51"/>
      <c r="I56" s="51"/>
      <c r="J56" s="52"/>
    </row>
    <row r="57" spans="1:10" ht="14.4" customHeight="1" x14ac:dyDescent="0.25">
      <c r="A57" s="47"/>
      <c r="B57" s="51"/>
      <c r="C57" s="51"/>
      <c r="D57" s="51"/>
      <c r="E57" s="51"/>
      <c r="F57" s="51"/>
      <c r="G57" s="51"/>
      <c r="H57" s="51"/>
      <c r="I57" s="51"/>
      <c r="J57" s="52"/>
    </row>
    <row r="58" spans="1:10" ht="14.4" customHeight="1" x14ac:dyDescent="0.25">
      <c r="A58" s="47"/>
      <c r="B58" s="51"/>
      <c r="C58" s="51"/>
      <c r="D58" s="51"/>
      <c r="E58" s="51"/>
      <c r="F58" s="51"/>
      <c r="G58" s="51"/>
      <c r="H58" s="51"/>
      <c r="I58" s="51"/>
      <c r="J58" s="52"/>
    </row>
    <row r="59" spans="1:10" ht="14.4" customHeight="1" thickBot="1" x14ac:dyDescent="0.3">
      <c r="A59" s="48"/>
      <c r="B59" s="53"/>
      <c r="C59" s="53"/>
      <c r="D59" s="53"/>
      <c r="E59" s="53"/>
      <c r="F59" s="53"/>
      <c r="G59" s="53"/>
      <c r="H59" s="53"/>
      <c r="I59" s="53"/>
      <c r="J59" s="54"/>
    </row>
  </sheetData>
  <dataConsolidate/>
  <mergeCells count="23">
    <mergeCell ref="C2:K4"/>
    <mergeCell ref="C7:H7"/>
    <mergeCell ref="A7:B7"/>
    <mergeCell ref="A8:B8"/>
    <mergeCell ref="C8:H8"/>
    <mergeCell ref="A6:B6"/>
    <mergeCell ref="C6:H6"/>
    <mergeCell ref="A50:A59"/>
    <mergeCell ref="B50:J59"/>
    <mergeCell ref="A43:A48"/>
    <mergeCell ref="C9:H9"/>
    <mergeCell ref="C11:H11"/>
    <mergeCell ref="A14:B14"/>
    <mergeCell ref="A10:B10"/>
    <mergeCell ref="C12:H12"/>
    <mergeCell ref="C13:H13"/>
    <mergeCell ref="C10:H10"/>
    <mergeCell ref="C14:H14"/>
    <mergeCell ref="B43:J48"/>
    <mergeCell ref="A9:B9"/>
    <mergeCell ref="A11:B11"/>
    <mergeCell ref="A12:B12"/>
    <mergeCell ref="A13:B13"/>
  </mergeCells>
  <dataValidations disablePrompts="1"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1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hyperlinks>
    <hyperlink ref="M19" r:id="rId1" xr:uid="{B6D45F7D-5B6E-455F-80E5-5B4F16FDA925}"/>
    <hyperlink ref="E19" r:id="rId2" xr:uid="{72F61FCE-8F0E-4487-AAB5-8720D05C7D0C}"/>
    <hyperlink ref="I19" r:id="rId3" xr:uid="{CE197CCB-FEBF-459C-832C-0D1676A5AE3B}"/>
    <hyperlink ref="I32" r:id="rId4" display="https://www.otoaksesuar.com/universal-pick-up-kasa-ici-surgulu-cekmece-yarim?srsltid=AfmBOop4f7-XdOlTyaxWBcnzvWyfGY88JpA7OxQql9OJztgiivUxXuco" xr:uid="{9D733493-FC71-44EF-8768-B68F9D8433D7}"/>
  </hyperlinks>
  <pageMargins left="0.7" right="0.7" top="0.75" bottom="0.75" header="0.3" footer="0.3"/>
  <pageSetup paperSize="9" scale="34" orientation="landscape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Olay Yeri İnceleme</vt:lpstr>
      <vt:lpstr>'Olay Yeri İnceleme'!Yazdırma_Alanı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2026-03-30T09:19:49Z</cp:lastPrinted>
  <dcterms:created xsi:type="dcterms:W3CDTF">2026-03-25T06:09:07Z</dcterms:created>
  <dcterms:modified xsi:type="dcterms:W3CDTF">2026-04-14T08:12:37Z</dcterms:modified>
</cp:coreProperties>
</file>