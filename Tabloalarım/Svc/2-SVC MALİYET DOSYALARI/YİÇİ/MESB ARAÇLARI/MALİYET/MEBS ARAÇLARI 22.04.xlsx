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yeliz.cosar\Desktop\"/>
    </mc:Choice>
  </mc:AlternateContent>
  <xr:revisionPtr revIDLastSave="0" documentId="8_{D158C030-6AB2-4591-A269-8E8173B6842D}" xr6:coauthVersionLast="47" xr6:coauthVersionMax="47" xr10:uidLastSave="{00000000-0000-0000-0000-000000000000}"/>
  <bookViews>
    <workbookView xWindow="-108" yWindow="-108" windowWidth="23256" windowHeight="12456" xr2:uid="{BA95FC1E-CD1B-490F-9A0C-080875F12861}"/>
  </bookViews>
  <sheets>
    <sheet name="MEBS ARACI" sheetId="6" r:id="rId1"/>
  </sheets>
  <definedNames>
    <definedName name="_xlnm.Print_Area" localSheetId="0">'MEBS ARACI'!$A$1:$L$68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6" l="1"/>
  <c r="L19" i="6"/>
  <c r="L32" i="6"/>
  <c r="L22" i="6" l="1"/>
  <c r="L23" i="6"/>
  <c r="L24" i="6"/>
  <c r="L25" i="6"/>
  <c r="L26" i="6"/>
  <c r="L27" i="6"/>
  <c r="L28" i="6"/>
  <c r="L29" i="6"/>
  <c r="L31" i="6"/>
  <c r="L33" i="6"/>
  <c r="L34" i="6"/>
  <c r="L35" i="6"/>
  <c r="L36" i="6"/>
  <c r="L37" i="6"/>
  <c r="L38" i="6"/>
  <c r="L39" i="6"/>
  <c r="L40" i="6"/>
  <c r="L41" i="6"/>
  <c r="L42" i="6"/>
  <c r="L43" i="6"/>
  <c r="L44" i="6"/>
  <c r="L45" i="6"/>
  <c r="L46" i="6"/>
  <c r="L47" i="6"/>
  <c r="L48" i="6"/>
  <c r="L20" i="6"/>
  <c r="L21" i="6"/>
  <c r="L18" i="6"/>
  <c r="L49" i="6" l="1"/>
  <c r="L50" i="6" s="1"/>
</calcChain>
</file>

<file path=xl/sharedStrings.xml><?xml version="1.0" encoding="utf-8"?>
<sst xmlns="http://schemas.openxmlformats.org/spreadsheetml/2006/main" count="378" uniqueCount="252">
  <si>
    <t>Kategori</t>
  </si>
  <si>
    <t>Birim</t>
  </si>
  <si>
    <t>Birim Fiyat</t>
  </si>
  <si>
    <t>Parça / Ürün Adı</t>
  </si>
  <si>
    <t>Marka</t>
  </si>
  <si>
    <t>Ölçü / Ebat</t>
  </si>
  <si>
    <t>Toplam Fiyat</t>
  </si>
  <si>
    <t>Görsel</t>
  </si>
  <si>
    <t>PROJE</t>
  </si>
  <si>
    <t>ÜSTYAPI</t>
  </si>
  <si>
    <t>RENK</t>
  </si>
  <si>
    <t>Euro</t>
  </si>
  <si>
    <t>TL</t>
  </si>
  <si>
    <t>Dolar</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</si>
  <si>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</si>
  <si>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</si>
  <si>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</si>
  <si>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</si>
  <si>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</si>
  <si>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</si>
  <si>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</si>
  <si>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</si>
  <si>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</si>
  <si>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</si>
  <si>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</si>
  <si>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</si>
  <si>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</si>
  <si>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</si>
  <si>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</si>
  <si>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</si>
  <si>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SVC</t>
  </si>
  <si>
    <t>ARAÇ</t>
  </si>
  <si>
    <t>Aydınlatma</t>
  </si>
  <si>
    <t>Ürün 
Departmanı Notu</t>
  </si>
  <si>
    <t>Yaklaşık Bedel</t>
  </si>
  <si>
    <t>MEBS ARACI</t>
  </si>
  <si>
    <t>FORD TRANSİT</t>
  </si>
  <si>
    <t>MSB  / OTOKOÇ</t>
  </si>
  <si>
    <t>Ara bölme karkas yapı</t>
  </si>
  <si>
    <t>Şase takviyeli, Hareketli çeneli tip veya sabit tip</t>
  </si>
  <si>
    <t>Klima</t>
  </si>
  <si>
    <t xml:space="preserve"> Önde ve arkada en az 2’şer adet olacaktır.
 Araç gidiş istikametine göre sağda ve solda en az 3’er adet olacaktır.
Her biri en az 200 kg yüke dayanıklı çelik malzemeden imal edilmiş olacaktır.</t>
  </si>
  <si>
    <t>Taşıma yük bağlantı halkası
(10 adet)</t>
  </si>
  <si>
    <t>Şekil-1’de gösterilen yerde 
En az 100 cm boyunda
En az 70 cm genişliğinde
 En az 80 cm yüksekliğinde
Katlanabilir tip
En az 100 kg ağırlığa dayanabilecek
AISI 1010 veya AISI 1020 kalite DKP sacdan imal edilmiş
 Üzeri elektrostatik toz boya ile boyanmış
üst yüzeyi en az 3 mm kalınlığında lastik döşenmiş</t>
  </si>
  <si>
    <t>Lastik kaplama 
(0,5mm)</t>
  </si>
  <si>
    <t xml:space="preserve">Kargo bölümü iç yan cidarları ve iç tavan kısmının döşenmiş olacaktır. </t>
  </si>
  <si>
    <t>Yan duvar ve Tavan kaplanacaktır.</t>
  </si>
  <si>
    <t xml:space="preserve">Kargo bölümü tabanı, en az 0,5 cm kalınlığında lastik döşenmiş olacaktır.
</t>
  </si>
  <si>
    <t>Kriko</t>
  </si>
  <si>
    <t xml:space="preserve"> Aracı düz zeminde kaldırabilecek, 
En az 5 ton kapasitede
</t>
  </si>
  <si>
    <t>Çekiç</t>
  </si>
  <si>
    <t>Takoz</t>
  </si>
  <si>
    <t>Levye</t>
  </si>
  <si>
    <t>Ağaç saplı çekiç</t>
  </si>
  <si>
    <t>En az 1 kg’lık ağaç saplı çekiç</t>
  </si>
  <si>
    <t>Metal veya plastik takoz</t>
  </si>
  <si>
    <t>Zincir</t>
  </si>
  <si>
    <t>Halat</t>
  </si>
  <si>
    <t>Çalışma Masası
(1 Adet)</t>
  </si>
  <si>
    <t>Çeki halatı</t>
  </si>
  <si>
    <t>Çeki halatı
(1 Adet, Tonaj belirtmemiş)</t>
  </si>
  <si>
    <t>Yürürlükteki trafik mevzuatına uygun ilkyardım çantası</t>
  </si>
  <si>
    <t xml:space="preserve"> kuru kimyevi tozlu yangın söndürme cihazı
En az 2 kg’lık,
Hava basınç göstergeli</t>
  </si>
  <si>
    <t>Yarım Depo Dizel
(35 Litre)</t>
  </si>
  <si>
    <t>Departman Notu</t>
  </si>
  <si>
    <t>Ara Bölme karkas yapısı</t>
  </si>
  <si>
    <t>0,5 mm DKP sac</t>
  </si>
  <si>
    <t>-</t>
  </si>
  <si>
    <t>Şasiye sabitlenecek, rijit yapı</t>
  </si>
  <si>
    <t>Min 0,5 mm</t>
  </si>
  <si>
    <t>Adet</t>
  </si>
  <si>
    <t>İzolasyon (Ara bölme)</t>
  </si>
  <si>
    <t>İzolasyon malzemesi</t>
  </si>
  <si>
    <t>Ara bölme kargo tarafı izolasyon</t>
  </si>
  <si>
    <t>Isı ve ses izolasyonu (taş yünü / kauçuk önerilir)</t>
  </si>
  <si>
    <t>Ara Bölme kaplama</t>
  </si>
  <si>
    <t>1 mm DKP veya alüminyum + halı</t>
  </si>
  <si>
    <t>Ara bölmenin iki tarafı kaplama</t>
  </si>
  <si>
    <t>Halı kaplama dahil</t>
  </si>
  <si>
    <t>Min 1 mm</t>
  </si>
  <si>
    <t>Ara Bölme cam</t>
  </si>
  <si>
    <t>Sürgü cam</t>
  </si>
  <si>
    <t>Ara bölme üzerinde 1 adet sürgülü pencere</t>
  </si>
  <si>
    <t>Güvenlik cam olmalı</t>
  </si>
  <si>
    <t>Kargo camları</t>
  </si>
  <si>
    <t>Kargo bölümünde 3 adet sürgülü pencere</t>
  </si>
  <si>
    <t>Yan duvarlara uygulanacak</t>
  </si>
  <si>
    <t>3 adet</t>
  </si>
  <si>
    <t>Tavan tipi klima</t>
  </si>
  <si>
    <t>Kargo bölümü için klima</t>
  </si>
  <si>
    <t>Araç üstü tip</t>
  </si>
  <si>
    <t>Min 10000 BTU/h</t>
  </si>
  <si>
    <t>LED lamba</t>
  </si>
  <si>
    <t>Kargo tavan aydınlatması</t>
  </si>
  <si>
    <t>Homojen ışık dağılımı</t>
  </si>
  <si>
    <t>Min 4 adet</t>
  </si>
  <si>
    <t>Havalandırma</t>
  </si>
  <si>
    <t>Havalandırma sistemi</t>
  </si>
  <si>
    <t>Kargo içi hava sirkülasyonu</t>
  </si>
  <si>
    <t>Tavan havalandırma önerilir</t>
  </si>
  <si>
    <t>Oturma grubu</t>
  </si>
  <si>
    <t>3 kişilik koltuk</t>
  </si>
  <si>
    <t>Katlanabilir personel koltuğu</t>
  </si>
  <si>
    <t>Sünger + suni deri kaplı</t>
  </si>
  <si>
    <t>Şekil-1 ölçü</t>
  </si>
  <si>
    <t>Malzeme dolabı</t>
  </si>
  <si>
    <t>Alüminyum dolap</t>
  </si>
  <si>
    <t>Kargo içi ekipman dolabı</t>
  </si>
  <si>
    <t>Kilitlenebilir kapaklı</t>
  </si>
  <si>
    <t>Derinlik 420±30 mm</t>
  </si>
  <si>
    <t>Bağlama halkaları</t>
  </si>
  <si>
    <t>Çelik halka</t>
  </si>
  <si>
    <t>Yük sabitleme halkaları</t>
  </si>
  <si>
    <t>Şasiye sabitlenecek</t>
  </si>
  <si>
    <t>Min 200 kg taşıma</t>
  </si>
  <si>
    <t>10 adet</t>
  </si>
  <si>
    <t>Çalışma masası</t>
  </si>
  <si>
    <t>Katlanabilir masa</t>
  </si>
  <si>
    <t>Kargo içi çalışma alanı</t>
  </si>
  <si>
    <t>Elektrostatik boyalı</t>
  </si>
  <si>
    <t>100x70x80 cm min</t>
  </si>
  <si>
    <t>Zemin kaplama</t>
  </si>
  <si>
    <t>Lastik kaplama</t>
  </si>
  <si>
    <t>Kargo taban kaplama</t>
  </si>
  <si>
    <t>Kaymaz yüzey</t>
  </si>
  <si>
    <t>Min 5 mm</t>
  </si>
  <si>
    <t>Yan duvar kaplama</t>
  </si>
  <si>
    <t>Panel + kaplama</t>
  </si>
  <si>
    <t>Kargo iç yan cidar kaplama</t>
  </si>
  <si>
    <t>Sac görünmeyecek</t>
  </si>
  <si>
    <t>Tavan kaplama</t>
  </si>
  <si>
    <t>Tavan paneli</t>
  </si>
  <si>
    <t>Kargo iç tavan kaplama</t>
  </si>
  <si>
    <t>Aydınlatma ile uyumlu</t>
  </si>
  <si>
    <t>Araç krikosu</t>
  </si>
  <si>
    <t>Araç kaldırma ekipmanı</t>
  </si>
  <si>
    <t>Manuel tip</t>
  </si>
  <si>
    <t>Min 5 ton</t>
  </si>
  <si>
    <t>Bijon anahtarı</t>
  </si>
  <si>
    <t>Teker sökme ekipmanı</t>
  </si>
  <si>
    <t>Araç uyumlu</t>
  </si>
  <si>
    <t>El aleti</t>
  </si>
  <si>
    <t>Standart tip</t>
  </si>
  <si>
    <t>Min 1 kg</t>
  </si>
  <si>
    <t>Teker takozu</t>
  </si>
  <si>
    <t>Güvenlik sabitleme</t>
  </si>
  <si>
    <t>Plastik veya metal</t>
  </si>
  <si>
    <t>Patinaj zinciri</t>
  </si>
  <si>
    <t>Teker zinciri</t>
  </si>
  <si>
    <t>2 teker için</t>
  </si>
  <si>
    <t>Set</t>
  </si>
  <si>
    <t>Çekme halatı</t>
  </si>
  <si>
    <t>Araç kurtarma ekipmanı</t>
  </si>
  <si>
    <t>Ağır hizmet</t>
  </si>
  <si>
    <t>Standart</t>
  </si>
  <si>
    <t>Reflektör</t>
  </si>
  <si>
    <t>Katlanabilir reflektör</t>
  </si>
  <si>
    <t>Güvenlik ekipmanı</t>
  </si>
  <si>
    <t>Mevzuata uygun</t>
  </si>
  <si>
    <t>İlk yardım çantası</t>
  </si>
  <si>
    <t>İlk yardım seti</t>
  </si>
  <si>
    <t>Araç içi sağlık ekipmanı</t>
  </si>
  <si>
    <t>Yangın söndürücü</t>
  </si>
  <si>
    <t>KKT tüp</t>
  </si>
  <si>
    <t>Araç içi yangın tüpü</t>
  </si>
  <si>
    <t>Basınç göstergeli</t>
  </si>
  <si>
    <t>Min 2 kg</t>
  </si>
  <si>
    <t xml:space="preserve">Detay verilmemiş </t>
  </si>
  <si>
    <t>adet</t>
  </si>
  <si>
    <t xml:space="preserve">SÜRGÜ CAM - KARGO BÖLÜMÜ
</t>
  </si>
  <si>
    <t>SÜRGÜ CAM - 
ARA BÖLME</t>
  </si>
  <si>
    <t xml:space="preserve">Klima
</t>
  </si>
  <si>
    <t xml:space="preserve">10000 Btu/h soğutma kapasiteli araç tavan tipi klima 
</t>
  </si>
  <si>
    <t xml:space="preserve"> adet</t>
  </si>
  <si>
    <t>Havalandırma Sistemi</t>
  </si>
  <si>
    <t xml:space="preserve">Koltuk
</t>
  </si>
  <si>
    <t xml:space="preserve">Dolap
</t>
  </si>
  <si>
    <t xml:space="preserve">
 Şekil-2’de verilen ölçülerde olacaktır.
Derinlik 420 ±30 mm olacaktır.
 En az 10 mm kalınlıkta TS EN 485-1 veya EN 485-1 standartlarına uygun alüminyum malzemeden imal edilmiş olacaktır.
Dolabın her bir bölmesi kilitlenebilir kapaklı olacaktır.</t>
  </si>
  <si>
    <t xml:space="preserve">Halka
</t>
  </si>
  <si>
    <t xml:space="preserve">Taban Kaplama
</t>
  </si>
  <si>
    <t xml:space="preserve">Döşeme
</t>
  </si>
  <si>
    <t xml:space="preserve">Bijon Anahtarı
</t>
  </si>
  <si>
    <t xml:space="preserve">Kriko
</t>
  </si>
  <si>
    <t xml:space="preserve">Teker bijon cıvatalarına göre bijon anahtarı ve kolu
</t>
  </si>
  <si>
    <t xml:space="preserve">Kriko ve Kriko kolu
</t>
  </si>
  <si>
    <t xml:space="preserve">Çekiç
</t>
  </si>
  <si>
    <t xml:space="preserve">Ağaç saplı çekiç
</t>
  </si>
  <si>
    <t xml:space="preserve">Takoz
</t>
  </si>
  <si>
    <t xml:space="preserve">Metal veya plastik takoz
</t>
  </si>
  <si>
    <t xml:space="preserve">Zincir
</t>
  </si>
  <si>
    <t xml:space="preserve">Patinaj Zinciri 
</t>
  </si>
  <si>
    <t xml:space="preserve">Levye
</t>
  </si>
  <si>
    <t>Reflektör
.</t>
  </si>
  <si>
    <t xml:space="preserve">İlk Yardım Çantası
</t>
  </si>
  <si>
    <t xml:space="preserve">Yangın Söndürme Cihazı
</t>
  </si>
  <si>
    <t>Yakıt</t>
  </si>
  <si>
    <t>Litre</t>
  </si>
  <si>
    <t xml:space="preserve">Katlanır koltuk, 
</t>
  </si>
  <si>
    <t xml:space="preserve">Sürgülü cam </t>
  </si>
  <si>
    <t xml:space="preserve"> flouresan veya LED’li lamba
(4 adet arka bölüm)</t>
  </si>
  <si>
    <t>Kargo bölümünde, 3 kişilik personel oturma yeri bulunacaktır.
 Katlanabilir Tip
 Oturma ve yaslanma kısmı içi sünger, dışı suni deri ile kaplı olacaktır.</t>
  </si>
  <si>
    <t xml:space="preserve">Malzeme Dolabı 
Aliminyum Malzeme
</t>
  </si>
  <si>
    <t xml:space="preserve"> Katlanabilir reflektör
</t>
  </si>
  <si>
    <t>. En az 2 teker için patinaj zinciri</t>
  </si>
  <si>
    <t>m2</t>
  </si>
  <si>
    <t xml:space="preserve">Masa
</t>
  </si>
  <si>
    <t>izalasyon malzemesi</t>
  </si>
  <si>
    <t>1 mm dkp ya da sac kaplama. Ve üzeri halı kaplama.</t>
  </si>
  <si>
    <t>Mavi renk</t>
  </si>
  <si>
    <t>İlgili maddede ''araçlar tek partide RAL 5010 mavi renkte boyanacaktır. '' denimektedir. Muhtemelen mavi üretilecektir. Hesaplamada bu maddeyi dikkate almayalım.</t>
  </si>
  <si>
    <t xml:space="preserve">Boya
</t>
  </si>
  <si>
    <t xml:space="preserve">Ara Bölme karkas yapı 
</t>
  </si>
  <si>
    <t>G 1800 x 
H : 2000 mm</t>
  </si>
  <si>
    <t>20x20x2  mm kutu profil</t>
  </si>
  <si>
    <t>4 adet 2000x1000 mm dkp sac</t>
  </si>
  <si>
    <t xml:space="preserve">İzalasyon (Ara bölme kargo tarafı) 
</t>
  </si>
  <si>
    <t>m</t>
  </si>
  <si>
    <t>Ara Bölme</t>
  </si>
  <si>
    <t xml:space="preserve">1  mm Dkp sac
 </t>
  </si>
  <si>
    <t>Bizim Peluş fiyatı verebilirsiniz</t>
  </si>
  <si>
    <t>Berhimi 550x900mm Çift Katlı Sürgülü Karavan Penceresi</t>
  </si>
  <si>
    <t>plaka</t>
  </si>
  <si>
    <t>1250 x 2500x2 mm plaka</t>
  </si>
  <si>
    <t>Peluş Kaplama</t>
  </si>
  <si>
    <t xml:space="preserve">Yan duvar ve Tavan 4 mm esnek  kontrası </t>
  </si>
  <si>
    <t>4 Gün</t>
  </si>
  <si>
    <t>3 Boy Ürün (Boyasız)  18  metre</t>
  </si>
  <si>
    <t>5 Gün</t>
  </si>
  <si>
    <t>4 gün</t>
  </si>
  <si>
    <t>Berhimi  50x90 Normal Karavan Camı Girilmiştir</t>
  </si>
  <si>
    <t>Ölçü Bilgi Olmadığından 30x70 Berhimi Cam Girilmiştir.</t>
  </si>
  <si>
    <t>Kampersan Ürünleri</t>
  </si>
  <si>
    <t>Revex 12v Elektrkli Mantgar Havalandırma Girilmiştir</t>
  </si>
  <si>
    <t>Şişe Tip Kriko</t>
  </si>
  <si>
    <t>Ford Araçlardan Alınan Halkalar fiyatı yazılmıştır</t>
  </si>
  <si>
    <t>Kaçuk Fiyatı Girilmiştir Chor 70  1x2 Ebatı 17 Kk Olup 90 Kg Fiyatıdır. 4 m2 34 Kg=3060 TL</t>
  </si>
  <si>
    <t xml:space="preserve">
Çeki tertibatı</t>
  </si>
  <si>
    <t>10 Gün</t>
  </si>
  <si>
    <t>Safkar Dan Fiyat Alındı.Montaj Dahil</t>
  </si>
  <si>
    <t>Dış 5010 renkte fırınlı Boya, İdış plastik aksesuar hariç, Kapı içleri boyalı Fiyattır.</t>
  </si>
  <si>
    <t>Sadece Malzeme tutarıdır</t>
  </si>
  <si>
    <t xml:space="preserve">Ara Bölme karkas yapı İşçilik
</t>
  </si>
  <si>
    <t>işçilik Ürünün kaynak vs işçiliği</t>
  </si>
  <si>
    <t xml:space="preserve">Dolap İşçilik
</t>
  </si>
  <si>
    <t>3 gün</t>
  </si>
  <si>
    <t>3 Gün</t>
  </si>
  <si>
    <t>8 Gün</t>
  </si>
  <si>
    <t>7 Gün</t>
  </si>
  <si>
    <t>2 gün</t>
  </si>
  <si>
    <t>20 Gün</t>
  </si>
  <si>
    <t xml:space="preserve">Net bilgi yok. Ruhsata işlenecek mi. İşlenmesi durumudna Tesisat olmadan Tse den geçmediğinden tesisat malzemesi de eklenmeli.Muayenesiz ise fiyat sadece çeki demiri oalrak girildi
</t>
  </si>
  <si>
    <t>2mm ürüne çevirilmiştir. Plaka 1500mm X 3000mm
2,40 Plaka Fire Dahil 3 Plaka
1 Plaka Ağırlık 23 Kh Kg Fiayt 269 + Kdv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</si>
</sst>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2]\ * #,##0.00_-;\-[$€-2]\ * #,##0.00_-;_-[$€-2]\ * &quot;-&quot;??_-;_-@_-"/>
    <numFmt numFmtId="165" formatCode="_-[$₺-41F]* #,##0.00_-;\-[$₺-41F]* #,##0.00_-;_-[$₺-41F]* &quot;-&quot;??_-;_-@_-"/>
  </numFmts>
  <fonts count="12"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s>
  <fills count="8">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3">
    <xf numFmtId="0" fontId="0" fillId="0" borderId="0"/>
    <xf numFmtId="0" fontId="1" fillId="0" borderId="0"/>
    <xf numFmtId="44" fontId="2" fillId="0" borderId="0" applyFont="0" applyFill="0" applyBorder="0" applyAlignment="0" applyProtection="0"/>
  </cellStyleXfs>
  <cellXfs count="86">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5" fillId="0" borderId="0" xfId="0" applyFont="1"/>
    <xf numFmtId="0" fontId="3" fillId="0" borderId="0" xfId="0" applyFont="1" applyAlignment="1">
      <alignment horizontal="center"/>
    </xf>
    <xf numFmtId="2" fontId="5" fillId="0" borderId="10" xfId="0" applyNumberFormat="1" applyFont="1" applyBorder="1" applyAlignment="1">
      <alignment horizontal="center"/>
    </xf>
    <xf numFmtId="2" fontId="5" fillId="0" borderId="12" xfId="0" applyNumberFormat="1" applyFont="1" applyBorder="1" applyAlignment="1">
      <alignment horizontal="center"/>
    </xf>
    <xf numFmtId="0" fontId="7" fillId="0" borderId="0" xfId="0" applyFont="1" applyAlignment="1">
      <alignment horizontal="center" vertical="center" wrapText="1"/>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5" fillId="4" borderId="27" xfId="0" applyFont="1" applyFill="1" applyBorder="1"/>
    <xf numFmtId="0" fontId="5" fillId="5" borderId="28" xfId="0" applyFont="1" applyFill="1" applyBorder="1"/>
    <xf numFmtId="0" fontId="5" fillId="3" borderId="29" xfId="0" applyFont="1" applyFill="1" applyBorder="1"/>
    <xf numFmtId="44" fontId="8" fillId="2" borderId="5" xfId="0" applyNumberFormat="1" applyFont="1" applyFill="1" applyBorder="1" applyAlignment="1">
      <alignment horizontal="right" vertical="center"/>
    </xf>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0" fontId="6" fillId="2" borderId="31" xfId="0" applyFont="1" applyFill="1" applyBorder="1" applyAlignment="1">
      <alignment wrapText="1"/>
    </xf>
    <xf numFmtId="0" fontId="7" fillId="7" borderId="0" xfId="0" applyFont="1" applyFill="1" applyAlignment="1">
      <alignment horizontal="center" vertical="center" wrapText="1"/>
    </xf>
    <xf numFmtId="0" fontId="7" fillId="7" borderId="0" xfId="0" applyFont="1" applyFill="1" applyAlignment="1">
      <alignment horizontal="center" vertical="center"/>
    </xf>
    <xf numFmtId="0" fontId="7" fillId="7" borderId="0" xfId="0" applyFont="1" applyFill="1" applyAlignment="1">
      <alignment vertical="center" wrapText="1"/>
    </xf>
    <xf numFmtId="0" fontId="7" fillId="7" borderId="0" xfId="0" applyFont="1" applyFill="1" applyAlignment="1">
      <alignment vertical="center"/>
    </xf>
    <xf numFmtId="0" fontId="7" fillId="7" borderId="0" xfId="0" applyFont="1" applyFill="1" applyAlignment="1">
      <alignment horizontal="left" vertical="center"/>
    </xf>
    <xf numFmtId="0" fontId="3" fillId="6" borderId="0" xfId="0" applyFont="1" applyFill="1"/>
    <xf numFmtId="0" fontId="6" fillId="2" borderId="31" xfId="0" applyFont="1" applyFill="1" applyBorder="1" applyAlignment="1">
      <alignment horizontal="center" vertical="center"/>
    </xf>
    <xf numFmtId="0" fontId="7" fillId="5" borderId="1" xfId="0" applyFont="1" applyFill="1" applyBorder="1" applyAlignment="1">
      <alignment horizontal="center" vertical="center" wrapText="1"/>
    </xf>
    <xf numFmtId="44" fontId="7" fillId="3" borderId="1" xfId="2" applyFont="1" applyFill="1" applyBorder="1" applyAlignment="1">
      <alignment horizontal="center" vertical="center" wrapText="1"/>
    </xf>
    <xf numFmtId="44" fontId="7" fillId="3" borderId="1" xfId="2" applyFont="1" applyFill="1" applyBorder="1" applyAlignment="1">
      <alignment horizontal="center" vertical="center"/>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0" xfId="0" applyFont="1" applyFill="1" applyBorder="1" applyAlignment="1">
      <alignment horizontal="center"/>
    </xf>
    <xf numFmtId="0" fontId="6" fillId="2"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cellXfs>
  <cellStyles count="3">
    <cellStyle name="Normal" xfId="0" builtinId="0"/>
    <cellStyle name="Normal 2" xfId="1" xr:uid="{B4716F7D-D368-4BBC-B121-95FEF976DFCE}"/>
    <cellStyle name="ParaBirimi" xfId="2" builtinId="4"/>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twoCellAnchor editAs="oneCell">
    <xdr:from>
      <xdr:col>4</xdr:col>
      <xdr:colOff>138545</xdr:colOff>
      <xdr:row>28</xdr:row>
      <xdr:rowOff>85696</xdr:rowOff>
    </xdr:from>
    <xdr:to>
      <xdr:col>4</xdr:col>
      <xdr:colOff>4544291</xdr:colOff>
      <xdr:row>28</xdr:row>
      <xdr:rowOff>4348663</xdr:rowOff>
    </xdr:to>
    <xdr:pic>
      <xdr:nvPicPr>
        <xdr:cNvPr id="8" name="Resim 7">
          <a:extLst>
            <a:ext uri="{FF2B5EF4-FFF2-40B4-BE49-F238E27FC236}">
              <a16:creationId xmlns:a16="http://schemas.microsoft.com/office/drawing/2014/main" id="{680F53B8-BFA2-7DAF-526A-C40B69F41CF6}"/>
            </a:ext>
          </a:extLst>
        </xdr:cNvPr>
        <xdr:cNvPicPr>
          <a:picLocks noChangeAspect="1"/>
        </xdr:cNvPicPr>
      </xdr:nvPicPr>
      <xdr:blipFill>
        <a:blip xmlns:r="http://schemas.openxmlformats.org/officeDocument/2006/relationships" r:embed="rId2"/>
        <a:stretch>
          <a:fillRect/>
        </a:stretch>
      </xdr:blipFill>
      <xdr:spPr>
        <a:xfrm>
          <a:off x="8963890" y="16946678"/>
          <a:ext cx="4405746" cy="4262967"/>
        </a:xfrm>
        <a:prstGeom prst="rect">
          <a:avLst/>
        </a:prstGeom>
      </xdr:spPr>
    </xdr:pic>
    <xdr:clientData/>
  </xdr:twoCellAnchor>
  <xdr:twoCellAnchor editAs="oneCell">
    <xdr:from>
      <xdr:col>4</xdr:col>
      <xdr:colOff>55419</xdr:colOff>
      <xdr:row>27</xdr:row>
      <xdr:rowOff>540326</xdr:rowOff>
    </xdr:from>
    <xdr:to>
      <xdr:col>4</xdr:col>
      <xdr:colOff>4544999</xdr:colOff>
      <xdr:row>27</xdr:row>
      <xdr:rowOff>1261503</xdr:rowOff>
    </xdr:to>
    <xdr:pic>
      <xdr:nvPicPr>
        <xdr:cNvPr id="3" name="Resim 2">
          <a:extLst>
            <a:ext uri="{FF2B5EF4-FFF2-40B4-BE49-F238E27FC236}">
              <a16:creationId xmlns:a16="http://schemas.microsoft.com/office/drawing/2014/main" id="{4ED7EB63-5621-46AE-19AD-55E4CA3FDA8B}"/>
            </a:ext>
          </a:extLst>
        </xdr:cNvPr>
        <xdr:cNvPicPr>
          <a:picLocks noChangeAspect="1"/>
        </xdr:cNvPicPr>
      </xdr:nvPicPr>
      <xdr:blipFill>
        <a:blip xmlns:r="http://schemas.openxmlformats.org/officeDocument/2006/relationships" r:embed="rId3"/>
        <a:stretch>
          <a:fillRect/>
        </a:stretch>
      </xdr:blipFill>
      <xdr:spPr>
        <a:xfrm>
          <a:off x="8880764" y="14824362"/>
          <a:ext cx="4489580" cy="721177"/>
        </a:xfrm>
        <a:prstGeom prst="rect">
          <a:avLst/>
        </a:prstGeom>
      </xdr:spPr>
    </xdr:pic>
    <xdr:clientData/>
  </xdr:twoCellAnchor>
  <xdr:twoCellAnchor editAs="oneCell">
    <xdr:from>
      <xdr:col>4</xdr:col>
      <xdr:colOff>158635</xdr:colOff>
      <xdr:row>17</xdr:row>
      <xdr:rowOff>214052</xdr:rowOff>
    </xdr:from>
    <xdr:to>
      <xdr:col>5</xdr:col>
      <xdr:colOff>2350</xdr:colOff>
      <xdr:row>17</xdr:row>
      <xdr:rowOff>2444662</xdr:rowOff>
    </xdr:to>
    <xdr:pic>
      <xdr:nvPicPr>
        <xdr:cNvPr id="5" name="Resim 4">
          <a:extLst>
            <a:ext uri="{FF2B5EF4-FFF2-40B4-BE49-F238E27FC236}">
              <a16:creationId xmlns:a16="http://schemas.microsoft.com/office/drawing/2014/main" id="{F0E8CDB4-905C-516E-CB1C-7E00EC864D98}"/>
            </a:ext>
          </a:extLst>
        </xdr:cNvPr>
        <xdr:cNvPicPr>
          <a:picLocks noChangeAspect="1"/>
        </xdr:cNvPicPr>
      </xdr:nvPicPr>
      <xdr:blipFill>
        <a:blip xmlns:r="http://schemas.openxmlformats.org/officeDocument/2006/relationships" r:embed="rId4"/>
        <a:stretch>
          <a:fillRect/>
        </a:stretch>
      </xdr:blipFill>
      <xdr:spPr>
        <a:xfrm>
          <a:off x="8983980" y="5838997"/>
          <a:ext cx="4621183" cy="2230610"/>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gus.com.tr/ford-transit-ceki-demiri-2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N101"/>
  <sheetViews>
    <sheetView tabSelected="1" topLeftCell="E28" zoomScale="70" zoomScaleNormal="70" workbookViewId="0">
      <selection activeCell="H29" sqref="H29"/>
    </sheetView>
  </sheetViews>
  <sheetFormatPr defaultColWidth="9.109375" defaultRowHeight="13.8" x14ac:dyDescent="0.25"/>
  <cols>
    <col min="1" max="1" width="25" style="1" customWidth="1"/>
    <col min="2" max="2" width="33.6640625" style="1" customWidth="1"/>
    <col min="3" max="3" width="27.44140625" style="1" customWidth="1"/>
    <col min="4" max="4" width="31.6640625" style="1" customWidth="1"/>
    <col min="5" max="5" width="69.88671875" style="1" customWidth="1"/>
    <col min="6" max="6" width="21.5546875" style="1" customWidth="1"/>
    <col min="7" max="7" width="17.33203125" style="1" customWidth="1"/>
    <col min="8" max="8" width="15.44140625" style="1" customWidth="1"/>
    <col min="9" max="9" width="71.88671875" style="1" customWidth="1"/>
    <col min="10" max="10" width="23.109375" style="1" customWidth="1"/>
    <col min="11" max="11" width="20.6640625" style="3" customWidth="1"/>
    <col min="12" max="12" width="25.5546875" style="1" customWidth="1"/>
    <col min="13" max="16384" width="9.109375" style="1"/>
  </cols>
  <sheetData>
    <row r="1" spans="1:14" ht="12" customHeight="1" thickBot="1" x14ac:dyDescent="0.3"/>
    <row r="2" spans="1:14" ht="42.6" customHeight="1" x14ac:dyDescent="0.25">
      <c r="A2" s="12"/>
      <c r="B2" s="21" t="s">
        <v>24</v>
      </c>
      <c r="C2" s="45"/>
      <c r="D2" s="46"/>
      <c r="E2" s="46"/>
      <c r="F2" s="46"/>
      <c r="G2" s="46"/>
      <c r="H2" s="46"/>
      <c r="I2" s="46"/>
      <c r="J2" s="46"/>
      <c r="K2" s="47"/>
    </row>
    <row r="3" spans="1:14" ht="41.4" customHeight="1" x14ac:dyDescent="0.25">
      <c r="A3" s="13"/>
      <c r="B3" s="22" t="s">
        <v>26</v>
      </c>
      <c r="C3" s="48"/>
      <c r="D3" s="49"/>
      <c r="E3" s="49"/>
      <c r="F3" s="49"/>
      <c r="G3" s="49"/>
      <c r="H3" s="49"/>
      <c r="I3" s="49"/>
      <c r="J3" s="49"/>
      <c r="K3" s="50"/>
    </row>
    <row r="4" spans="1:14" ht="41.4" customHeight="1" thickBot="1" x14ac:dyDescent="0.3">
      <c r="A4" s="14"/>
      <c r="B4" s="23" t="s">
        <v>25</v>
      </c>
      <c r="C4" s="51"/>
      <c r="D4" s="52"/>
      <c r="E4" s="52"/>
      <c r="F4" s="52"/>
      <c r="G4" s="52"/>
      <c r="H4" s="52"/>
      <c r="I4" s="52"/>
      <c r="J4" s="52"/>
      <c r="K4" s="53"/>
    </row>
    <row r="5" spans="1:14" ht="33" customHeight="1" thickBot="1" x14ac:dyDescent="0.3">
      <c r="C5" s="5"/>
      <c r="K5" s="1"/>
    </row>
    <row r="6" spans="1:14" ht="17.399999999999999" x14ac:dyDescent="0.3">
      <c r="A6" s="55" t="s">
        <v>28</v>
      </c>
      <c r="B6" s="56"/>
      <c r="C6" s="57">
        <v>46115</v>
      </c>
      <c r="D6" s="58"/>
      <c r="E6" s="58"/>
      <c r="F6" s="58"/>
      <c r="G6" s="58"/>
      <c r="H6" s="59"/>
      <c r="K6" s="1"/>
    </row>
    <row r="7" spans="1:14" ht="17.399999999999999" x14ac:dyDescent="0.3">
      <c r="A7" s="40" t="s">
        <v>29</v>
      </c>
      <c r="B7" s="41"/>
      <c r="C7" s="54">
        <v>46121</v>
      </c>
      <c r="D7" s="43"/>
      <c r="E7" s="43"/>
      <c r="F7" s="43"/>
      <c r="G7" s="43"/>
      <c r="H7" s="44"/>
      <c r="K7" s="1"/>
    </row>
    <row r="8" spans="1:14" ht="20.399999999999999" customHeight="1" x14ac:dyDescent="0.3">
      <c r="A8" s="40" t="s">
        <v>27</v>
      </c>
      <c r="B8" s="41"/>
      <c r="C8" s="42" t="s">
        <v>34</v>
      </c>
      <c r="D8" s="43"/>
      <c r="E8" s="43"/>
      <c r="F8" s="43"/>
      <c r="G8" s="43"/>
      <c r="H8" s="44"/>
      <c r="K8" s="1"/>
    </row>
    <row r="9" spans="1:14" s="4" customFormat="1" ht="18.899999999999999" customHeight="1" thickBot="1" x14ac:dyDescent="0.35">
      <c r="A9" s="82" t="s">
        <v>8</v>
      </c>
      <c r="B9" s="83"/>
      <c r="C9" s="78" t="s">
        <v>30</v>
      </c>
      <c r="D9" s="78"/>
      <c r="E9" s="78"/>
      <c r="F9" s="78"/>
      <c r="G9" s="78"/>
      <c r="H9" s="79"/>
      <c r="I9" s="1"/>
      <c r="J9" s="1"/>
    </row>
    <row r="10" spans="1:14" s="4" customFormat="1" ht="20.399999999999999" customHeight="1" x14ac:dyDescent="0.3">
      <c r="A10" s="82" t="s">
        <v>15</v>
      </c>
      <c r="B10" s="83"/>
      <c r="C10" s="78" t="s">
        <v>16</v>
      </c>
      <c r="D10" s="78"/>
      <c r="E10" s="78"/>
      <c r="F10" s="78"/>
      <c r="G10" s="78"/>
      <c r="H10" s="79"/>
      <c r="I10" s="1"/>
      <c r="J10" s="24" t="s">
        <v>13</v>
      </c>
      <c r="K10" s="25" t="s">
        <v>11</v>
      </c>
    </row>
    <row r="11" spans="1:14" s="4" customFormat="1" ht="21" customHeight="1" thickBot="1" x14ac:dyDescent="0.35">
      <c r="A11" s="82" t="s">
        <v>9</v>
      </c>
      <c r="B11" s="83"/>
      <c r="C11" s="78" t="s">
        <v>35</v>
      </c>
      <c r="D11" s="78"/>
      <c r="E11" s="78"/>
      <c r="F11" s="78"/>
      <c r="G11" s="78"/>
      <c r="H11" s="79"/>
      <c r="I11" s="1"/>
      <c r="J11" s="6">
        <v>44.42</v>
      </c>
      <c r="K11" s="7">
        <v>51.531700000000001</v>
      </c>
      <c r="L11" s="1"/>
      <c r="M11" s="1"/>
    </row>
    <row r="12" spans="1:14" s="4" customFormat="1" ht="21" customHeight="1" x14ac:dyDescent="0.3">
      <c r="A12" s="40" t="s">
        <v>31</v>
      </c>
      <c r="B12" s="41"/>
      <c r="C12" s="42" t="s">
        <v>36</v>
      </c>
      <c r="D12" s="43"/>
      <c r="E12" s="43"/>
      <c r="F12" s="43"/>
      <c r="G12" s="43"/>
      <c r="H12" s="44"/>
      <c r="I12" s="1"/>
      <c r="J12" s="27"/>
      <c r="K12" s="27"/>
      <c r="L12" s="1"/>
      <c r="M12" s="1"/>
    </row>
    <row r="13" spans="1:14" s="4" customFormat="1" ht="21" customHeight="1" x14ac:dyDescent="0.3">
      <c r="A13" s="82" t="s">
        <v>17</v>
      </c>
      <c r="B13" s="83"/>
      <c r="C13" s="78" t="s">
        <v>37</v>
      </c>
      <c r="D13" s="78"/>
      <c r="E13" s="78"/>
      <c r="F13" s="78"/>
      <c r="G13" s="78"/>
      <c r="H13" s="79"/>
      <c r="I13" s="1"/>
      <c r="J13" s="1"/>
      <c r="K13" s="1"/>
      <c r="L13" s="1"/>
      <c r="M13" s="1"/>
      <c r="N13" s="1"/>
    </row>
    <row r="14" spans="1:14" s="4" customFormat="1" ht="21" customHeight="1" x14ac:dyDescent="0.3">
      <c r="A14" s="82" t="s">
        <v>10</v>
      </c>
      <c r="B14" s="83"/>
      <c r="C14" s="78"/>
      <c r="D14" s="78"/>
      <c r="E14" s="78"/>
      <c r="F14" s="78"/>
      <c r="G14" s="78"/>
      <c r="H14" s="79"/>
      <c r="I14" s="1"/>
      <c r="J14" s="1"/>
      <c r="K14" s="1"/>
      <c r="L14" s="1"/>
      <c r="M14" s="1"/>
      <c r="N14" s="1"/>
    </row>
    <row r="15" spans="1:14" s="4" customFormat="1" ht="18.899999999999999" customHeight="1" thickBot="1" x14ac:dyDescent="0.35">
      <c r="A15" s="80" t="s">
        <v>14</v>
      </c>
      <c r="B15" s="81"/>
      <c r="C15" s="84">
        <v>7</v>
      </c>
      <c r="D15" s="84"/>
      <c r="E15" s="84"/>
      <c r="F15" s="84"/>
      <c r="G15" s="84"/>
      <c r="H15" s="85"/>
      <c r="I15" s="1"/>
      <c r="J15" s="1"/>
      <c r="K15" s="1"/>
      <c r="L15" s="1"/>
      <c r="M15" s="1"/>
    </row>
    <row r="16" spans="1:14" ht="18.600000000000001" customHeight="1" thickBot="1" x14ac:dyDescent="0.3">
      <c r="K16" s="1"/>
    </row>
    <row r="17" spans="1:12" ht="58.2" customHeight="1" x14ac:dyDescent="0.3">
      <c r="A17" s="18" t="s">
        <v>0</v>
      </c>
      <c r="B17" s="19" t="s">
        <v>3</v>
      </c>
      <c r="C17" s="19" t="s">
        <v>22</v>
      </c>
      <c r="D17" s="19" t="s">
        <v>4</v>
      </c>
      <c r="E17" s="36" t="s">
        <v>7</v>
      </c>
      <c r="F17" s="29" t="s">
        <v>33</v>
      </c>
      <c r="G17" s="19" t="s">
        <v>5</v>
      </c>
      <c r="H17" s="19" t="s">
        <v>1</v>
      </c>
      <c r="I17" s="20" t="s">
        <v>21</v>
      </c>
      <c r="J17" s="19" t="s">
        <v>23</v>
      </c>
      <c r="K17" s="19" t="s">
        <v>2</v>
      </c>
      <c r="L17" s="19" t="s">
        <v>6</v>
      </c>
    </row>
    <row r="18" spans="1:12" ht="206.4" customHeight="1" x14ac:dyDescent="0.25">
      <c r="A18" s="28" t="s">
        <v>211</v>
      </c>
      <c r="B18" s="28" t="s">
        <v>218</v>
      </c>
      <c r="C18" s="28" t="s">
        <v>214</v>
      </c>
      <c r="D18" s="9"/>
      <c r="E18" s="10"/>
      <c r="F18" s="10"/>
      <c r="G18" s="37">
        <v>4</v>
      </c>
      <c r="H18" s="10" t="s">
        <v>168</v>
      </c>
      <c r="I18" s="11" t="s">
        <v>240</v>
      </c>
      <c r="J18" s="11" t="s">
        <v>225</v>
      </c>
      <c r="K18" s="38">
        <v>680</v>
      </c>
      <c r="L18" s="38">
        <f>G18*$K18</f>
        <v>2720</v>
      </c>
    </row>
    <row r="19" spans="1:12" ht="206.4" customHeight="1" x14ac:dyDescent="0.25">
      <c r="A19" s="28" t="s">
        <v>241</v>
      </c>
      <c r="B19" s="28" t="s">
        <v>218</v>
      </c>
      <c r="C19" s="28" t="s">
        <v>214</v>
      </c>
      <c r="D19" s="9"/>
      <c r="E19" s="10"/>
      <c r="F19" s="10"/>
      <c r="G19" s="37">
        <v>1</v>
      </c>
      <c r="H19" s="10" t="s">
        <v>150</v>
      </c>
      <c r="I19" s="11" t="s">
        <v>242</v>
      </c>
      <c r="J19" s="11" t="s">
        <v>237</v>
      </c>
      <c r="K19" s="38">
        <v>5000</v>
      </c>
      <c r="L19" s="38">
        <f>K19*G19</f>
        <v>5000</v>
      </c>
    </row>
    <row r="20" spans="1:12" ht="104.4" customHeight="1" x14ac:dyDescent="0.25">
      <c r="A20" s="28" t="s">
        <v>211</v>
      </c>
      <c r="B20" s="28" t="s">
        <v>213</v>
      </c>
      <c r="C20" s="28" t="s">
        <v>212</v>
      </c>
      <c r="D20" s="9"/>
      <c r="E20" s="10"/>
      <c r="F20" s="10"/>
      <c r="G20" s="10">
        <v>3</v>
      </c>
      <c r="H20" s="10" t="s">
        <v>216</v>
      </c>
      <c r="I20" s="11" t="s">
        <v>226</v>
      </c>
      <c r="J20" s="11" t="s">
        <v>225</v>
      </c>
      <c r="K20" s="38">
        <v>240</v>
      </c>
      <c r="L20" s="38">
        <f t="shared" ref="L20:L48" si="0">G20*$K20</f>
        <v>720</v>
      </c>
    </row>
    <row r="21" spans="1:12" ht="67.95" customHeight="1" x14ac:dyDescent="0.25">
      <c r="A21" s="28" t="s">
        <v>215</v>
      </c>
      <c r="B21" s="28" t="s">
        <v>206</v>
      </c>
      <c r="C21" s="28"/>
      <c r="D21" s="9"/>
      <c r="E21" s="10"/>
      <c r="F21" s="10"/>
      <c r="G21" s="10">
        <v>4</v>
      </c>
      <c r="H21" s="10" t="s">
        <v>204</v>
      </c>
      <c r="I21" s="11"/>
      <c r="J21" s="11" t="s">
        <v>225</v>
      </c>
      <c r="K21" s="38">
        <v>380</v>
      </c>
      <c r="L21" s="38">
        <f t="shared" si="0"/>
        <v>1520</v>
      </c>
    </row>
    <row r="22" spans="1:12" ht="75" customHeight="1" x14ac:dyDescent="0.25">
      <c r="A22" s="28" t="s">
        <v>217</v>
      </c>
      <c r="B22" s="28" t="s">
        <v>207</v>
      </c>
      <c r="C22" s="28" t="s">
        <v>219</v>
      </c>
      <c r="D22" s="9"/>
      <c r="E22" s="10"/>
      <c r="F22" s="10"/>
      <c r="G22" s="10">
        <v>8</v>
      </c>
      <c r="H22" s="10" t="s">
        <v>204</v>
      </c>
      <c r="I22" s="11"/>
      <c r="J22" s="11" t="s">
        <v>227</v>
      </c>
      <c r="K22" s="38">
        <v>160</v>
      </c>
      <c r="L22" s="38">
        <f t="shared" si="0"/>
        <v>1280</v>
      </c>
    </row>
    <row r="23" spans="1:12" ht="67.2" customHeight="1" x14ac:dyDescent="0.25">
      <c r="A23" s="28" t="s">
        <v>170</v>
      </c>
      <c r="B23" s="28" t="s">
        <v>198</v>
      </c>
      <c r="C23" s="28" t="s">
        <v>220</v>
      </c>
      <c r="D23" s="9"/>
      <c r="E23" s="10"/>
      <c r="F23" s="10"/>
      <c r="G23" s="10">
        <v>1</v>
      </c>
      <c r="H23" s="10" t="s">
        <v>168</v>
      </c>
      <c r="I23" s="11" t="s">
        <v>229</v>
      </c>
      <c r="J23" s="11" t="s">
        <v>228</v>
      </c>
      <c r="K23" s="39">
        <v>6200</v>
      </c>
      <c r="L23" s="38">
        <f t="shared" si="0"/>
        <v>6200</v>
      </c>
    </row>
    <row r="24" spans="1:12" ht="56.4" customHeight="1" x14ac:dyDescent="0.25">
      <c r="A24" s="28" t="s">
        <v>169</v>
      </c>
      <c r="B24" s="28" t="s">
        <v>198</v>
      </c>
      <c r="C24" s="28"/>
      <c r="D24" s="9"/>
      <c r="E24" s="10"/>
      <c r="F24" s="10"/>
      <c r="G24" s="10">
        <v>3</v>
      </c>
      <c r="H24" s="10" t="s">
        <v>168</v>
      </c>
      <c r="I24" s="11" t="s">
        <v>230</v>
      </c>
      <c r="J24" s="11" t="s">
        <v>225</v>
      </c>
      <c r="K24" s="39">
        <v>3500</v>
      </c>
      <c r="L24" s="38">
        <f t="shared" si="0"/>
        <v>10500</v>
      </c>
    </row>
    <row r="25" spans="1:12" ht="67.2" customHeight="1" x14ac:dyDescent="0.25">
      <c r="A25" s="28" t="s">
        <v>171</v>
      </c>
      <c r="B25" s="28" t="s">
        <v>172</v>
      </c>
      <c r="C25" s="28"/>
      <c r="D25" s="9"/>
      <c r="E25" s="10"/>
      <c r="F25" s="10"/>
      <c r="G25" s="10">
        <v>1</v>
      </c>
      <c r="H25" s="10" t="s">
        <v>168</v>
      </c>
      <c r="I25" s="11" t="s">
        <v>238</v>
      </c>
      <c r="J25" s="11" t="s">
        <v>237</v>
      </c>
      <c r="K25" s="39">
        <v>100000</v>
      </c>
      <c r="L25" s="38">
        <f t="shared" si="0"/>
        <v>100000</v>
      </c>
    </row>
    <row r="26" spans="1:12" ht="54" customHeight="1" x14ac:dyDescent="0.25">
      <c r="A26" s="28" t="s">
        <v>32</v>
      </c>
      <c r="B26" s="28" t="s">
        <v>199</v>
      </c>
      <c r="C26" s="28"/>
      <c r="D26" s="9"/>
      <c r="E26" s="10"/>
      <c r="F26" s="10"/>
      <c r="G26" s="10">
        <v>4</v>
      </c>
      <c r="H26" s="10" t="s">
        <v>173</v>
      </c>
      <c r="I26" s="11" t="s">
        <v>231</v>
      </c>
      <c r="J26" s="11" t="s">
        <v>225</v>
      </c>
      <c r="K26" s="39">
        <v>750</v>
      </c>
      <c r="L26" s="38">
        <f t="shared" si="0"/>
        <v>3000</v>
      </c>
    </row>
    <row r="27" spans="1:12" ht="56.4" customHeight="1" x14ac:dyDescent="0.25">
      <c r="A27" s="28" t="s">
        <v>96</v>
      </c>
      <c r="B27" s="28" t="s">
        <v>174</v>
      </c>
      <c r="C27" s="28"/>
      <c r="D27" s="9" t="s">
        <v>167</v>
      </c>
      <c r="E27" s="10"/>
      <c r="F27" s="10"/>
      <c r="G27" s="10">
        <v>1</v>
      </c>
      <c r="H27" s="10" t="s">
        <v>168</v>
      </c>
      <c r="I27" s="11" t="s">
        <v>232</v>
      </c>
      <c r="J27" s="11" t="s">
        <v>225</v>
      </c>
      <c r="K27" s="39">
        <v>2000</v>
      </c>
      <c r="L27" s="38">
        <f t="shared" si="0"/>
        <v>2000</v>
      </c>
    </row>
    <row r="28" spans="1:12" ht="136.5" customHeight="1" x14ac:dyDescent="0.25">
      <c r="A28" s="28" t="s">
        <v>175</v>
      </c>
      <c r="B28" s="28" t="s">
        <v>197</v>
      </c>
      <c r="C28" s="28" t="s">
        <v>200</v>
      </c>
      <c r="D28" s="9"/>
      <c r="E28" s="10"/>
      <c r="F28" s="10"/>
      <c r="G28" s="10">
        <v>3</v>
      </c>
      <c r="H28" s="10" t="s">
        <v>168</v>
      </c>
      <c r="I28" s="11"/>
      <c r="J28" s="11"/>
      <c r="K28" s="39">
        <v>5150</v>
      </c>
      <c r="L28" s="38">
        <f t="shared" si="0"/>
        <v>15450</v>
      </c>
    </row>
    <row r="29" spans="1:12" ht="349.2" customHeight="1" x14ac:dyDescent="0.25">
      <c r="A29" s="28" t="s">
        <v>176</v>
      </c>
      <c r="B29" s="28" t="s">
        <v>201</v>
      </c>
      <c r="C29" s="28" t="s">
        <v>177</v>
      </c>
      <c r="D29" s="9" t="s">
        <v>222</v>
      </c>
      <c r="E29" s="10"/>
      <c r="F29" s="10"/>
      <c r="G29" s="10">
        <v>3</v>
      </c>
      <c r="H29" s="10" t="s">
        <v>221</v>
      </c>
      <c r="I29" s="11" t="s">
        <v>251</v>
      </c>
      <c r="J29" s="11" t="s">
        <v>225</v>
      </c>
      <c r="K29" s="39">
        <v>6187</v>
      </c>
      <c r="L29" s="38">
        <f t="shared" si="0"/>
        <v>18561</v>
      </c>
    </row>
    <row r="30" spans="1:12" ht="94.5" customHeight="1" x14ac:dyDescent="0.25">
      <c r="A30" s="28" t="s">
        <v>243</v>
      </c>
      <c r="B30" s="28" t="s">
        <v>201</v>
      </c>
      <c r="C30" s="28"/>
      <c r="D30" s="9"/>
      <c r="E30" s="10"/>
      <c r="F30" s="10"/>
      <c r="G30" s="10">
        <v>1</v>
      </c>
      <c r="H30" s="10"/>
      <c r="I30" s="11" t="s">
        <v>242</v>
      </c>
      <c r="J30" s="11" t="s">
        <v>237</v>
      </c>
      <c r="K30" s="39">
        <v>30000</v>
      </c>
      <c r="L30" s="38">
        <f t="shared" si="0"/>
        <v>30000</v>
      </c>
    </row>
    <row r="31" spans="1:12" ht="178.2" x14ac:dyDescent="0.25">
      <c r="A31" s="28" t="s">
        <v>178</v>
      </c>
      <c r="B31" s="28" t="s">
        <v>42</v>
      </c>
      <c r="C31" s="28" t="s">
        <v>41</v>
      </c>
      <c r="D31" s="9"/>
      <c r="E31" s="10"/>
      <c r="F31" s="10"/>
      <c r="G31" s="10">
        <v>10</v>
      </c>
      <c r="H31" s="10" t="s">
        <v>168</v>
      </c>
      <c r="I31" s="11" t="s">
        <v>234</v>
      </c>
      <c r="J31" s="11" t="s">
        <v>244</v>
      </c>
      <c r="K31" s="39">
        <v>150</v>
      </c>
      <c r="L31" s="38">
        <f t="shared" si="0"/>
        <v>1500</v>
      </c>
    </row>
    <row r="32" spans="1:12" ht="238.95" customHeight="1" x14ac:dyDescent="0.25">
      <c r="A32" s="28" t="s">
        <v>205</v>
      </c>
      <c r="B32" s="28" t="s">
        <v>58</v>
      </c>
      <c r="C32" s="28" t="s">
        <v>43</v>
      </c>
      <c r="D32" s="9"/>
      <c r="E32" s="10"/>
      <c r="F32" s="10"/>
      <c r="G32" s="10">
        <v>1</v>
      </c>
      <c r="H32" s="10" t="s">
        <v>168</v>
      </c>
      <c r="I32" s="11"/>
      <c r="J32" s="11" t="s">
        <v>237</v>
      </c>
      <c r="K32" s="39">
        <v>8500</v>
      </c>
      <c r="L32" s="38">
        <f>K32*G32</f>
        <v>8500</v>
      </c>
    </row>
    <row r="33" spans="1:12" ht="97.2" x14ac:dyDescent="0.25">
      <c r="A33" s="28" t="s">
        <v>179</v>
      </c>
      <c r="B33" s="28" t="s">
        <v>44</v>
      </c>
      <c r="C33" s="28" t="s">
        <v>47</v>
      </c>
      <c r="D33" s="9"/>
      <c r="E33" s="10"/>
      <c r="F33" s="10"/>
      <c r="G33" s="10">
        <v>4</v>
      </c>
      <c r="H33" s="10" t="s">
        <v>204</v>
      </c>
      <c r="I33" s="11" t="s">
        <v>235</v>
      </c>
      <c r="J33" s="11" t="s">
        <v>245</v>
      </c>
      <c r="K33" s="39">
        <v>765</v>
      </c>
      <c r="L33" s="38">
        <f t="shared" si="0"/>
        <v>3060</v>
      </c>
    </row>
    <row r="34" spans="1:12" ht="69" customHeight="1" x14ac:dyDescent="0.25">
      <c r="A34" s="28" t="s">
        <v>180</v>
      </c>
      <c r="B34" s="28" t="s">
        <v>46</v>
      </c>
      <c r="C34" s="28" t="s">
        <v>45</v>
      </c>
      <c r="D34" s="9" t="s">
        <v>223</v>
      </c>
      <c r="E34" s="10"/>
      <c r="F34" s="10"/>
      <c r="G34" s="10">
        <v>20</v>
      </c>
      <c r="H34" s="10" t="s">
        <v>204</v>
      </c>
      <c r="I34" s="11"/>
      <c r="J34" s="11" t="s">
        <v>245</v>
      </c>
      <c r="K34" s="39">
        <v>160</v>
      </c>
      <c r="L34" s="38">
        <f t="shared" si="0"/>
        <v>3200</v>
      </c>
    </row>
    <row r="35" spans="1:12" ht="56.4" customHeight="1" x14ac:dyDescent="0.25">
      <c r="A35" s="28" t="s">
        <v>180</v>
      </c>
      <c r="B35" s="28" t="s">
        <v>224</v>
      </c>
      <c r="C35" s="28"/>
      <c r="D35" s="9"/>
      <c r="E35" s="10"/>
      <c r="F35" s="10"/>
      <c r="G35" s="10">
        <v>11</v>
      </c>
      <c r="H35" s="10" t="s">
        <v>221</v>
      </c>
      <c r="I35" s="11"/>
      <c r="J35" s="11" t="s">
        <v>245</v>
      </c>
      <c r="K35" s="39">
        <v>1300</v>
      </c>
      <c r="L35" s="38">
        <f t="shared" si="0"/>
        <v>14300</v>
      </c>
    </row>
    <row r="36" spans="1:12" ht="56.4" customHeight="1" x14ac:dyDescent="0.25">
      <c r="A36" s="28" t="s">
        <v>181</v>
      </c>
      <c r="B36" s="28" t="s">
        <v>183</v>
      </c>
      <c r="C36" s="28"/>
      <c r="D36" s="28"/>
      <c r="E36" s="10"/>
      <c r="F36" s="10"/>
      <c r="G36" s="10">
        <v>1</v>
      </c>
      <c r="H36" s="10" t="s">
        <v>168</v>
      </c>
      <c r="I36" s="11"/>
      <c r="J36" s="11" t="s">
        <v>245</v>
      </c>
      <c r="K36" s="39">
        <v>650</v>
      </c>
      <c r="L36" s="38">
        <f t="shared" si="0"/>
        <v>650</v>
      </c>
    </row>
    <row r="37" spans="1:12" ht="86.25" customHeight="1" x14ac:dyDescent="0.25">
      <c r="A37" s="28" t="s">
        <v>182</v>
      </c>
      <c r="B37" s="28" t="s">
        <v>184</v>
      </c>
      <c r="C37" s="28" t="s">
        <v>49</v>
      </c>
      <c r="D37" s="28"/>
      <c r="E37" s="10"/>
      <c r="F37" s="10"/>
      <c r="G37" s="10">
        <v>1</v>
      </c>
      <c r="H37" s="10" t="s">
        <v>168</v>
      </c>
      <c r="I37" s="11" t="s">
        <v>233</v>
      </c>
      <c r="J37" s="11" t="s">
        <v>245</v>
      </c>
      <c r="K37" s="39">
        <v>1000</v>
      </c>
      <c r="L37" s="38">
        <f t="shared" si="0"/>
        <v>1000</v>
      </c>
    </row>
    <row r="38" spans="1:12" ht="56.4" customHeight="1" x14ac:dyDescent="0.25">
      <c r="A38" s="28" t="s">
        <v>185</v>
      </c>
      <c r="B38" s="28" t="s">
        <v>186</v>
      </c>
      <c r="C38" s="28" t="s">
        <v>54</v>
      </c>
      <c r="D38" s="28"/>
      <c r="E38" s="10"/>
      <c r="F38" s="10"/>
      <c r="G38" s="10">
        <v>1</v>
      </c>
      <c r="H38" s="10" t="s">
        <v>168</v>
      </c>
      <c r="I38" s="11"/>
      <c r="J38" s="11" t="s">
        <v>245</v>
      </c>
      <c r="K38" s="39">
        <v>170</v>
      </c>
      <c r="L38" s="38">
        <f t="shared" si="0"/>
        <v>170</v>
      </c>
    </row>
    <row r="39" spans="1:12" ht="56.4" customHeight="1" x14ac:dyDescent="0.25">
      <c r="A39" s="28" t="s">
        <v>187</v>
      </c>
      <c r="B39" s="28" t="s">
        <v>188</v>
      </c>
      <c r="C39" s="28" t="s">
        <v>55</v>
      </c>
      <c r="D39" s="28"/>
      <c r="E39" s="10"/>
      <c r="F39" s="10"/>
      <c r="G39" s="10">
        <v>1</v>
      </c>
      <c r="H39" s="10" t="s">
        <v>168</v>
      </c>
      <c r="I39" s="11"/>
      <c r="J39" s="11" t="s">
        <v>246</v>
      </c>
      <c r="K39" s="39">
        <v>250</v>
      </c>
      <c r="L39" s="38">
        <f t="shared" si="0"/>
        <v>250</v>
      </c>
    </row>
    <row r="40" spans="1:12" ht="56.4" customHeight="1" x14ac:dyDescent="0.25">
      <c r="A40" s="28" t="s">
        <v>189</v>
      </c>
      <c r="B40" s="28" t="s">
        <v>190</v>
      </c>
      <c r="C40" s="28" t="s">
        <v>203</v>
      </c>
      <c r="D40" s="28"/>
      <c r="E40" s="10"/>
      <c r="F40" s="10"/>
      <c r="G40" s="10">
        <v>2</v>
      </c>
      <c r="H40" s="10" t="s">
        <v>168</v>
      </c>
      <c r="I40" s="11"/>
      <c r="J40" s="11" t="s">
        <v>247</v>
      </c>
      <c r="K40" s="39">
        <v>1450</v>
      </c>
      <c r="L40" s="38">
        <f t="shared" si="0"/>
        <v>2900</v>
      </c>
    </row>
    <row r="41" spans="1:12" ht="56.4" customHeight="1" x14ac:dyDescent="0.25">
      <c r="A41" s="28" t="s">
        <v>57</v>
      </c>
      <c r="B41" s="28" t="s">
        <v>60</v>
      </c>
      <c r="C41" s="28"/>
      <c r="D41" s="28"/>
      <c r="E41" s="10"/>
      <c r="F41" s="10"/>
      <c r="G41" s="10">
        <v>1</v>
      </c>
      <c r="H41" s="10" t="s">
        <v>168</v>
      </c>
      <c r="I41" s="11"/>
      <c r="J41" s="11" t="s">
        <v>246</v>
      </c>
      <c r="K41" s="39">
        <v>350</v>
      </c>
      <c r="L41" s="38">
        <f t="shared" si="0"/>
        <v>350</v>
      </c>
    </row>
    <row r="42" spans="1:12" ht="56.4" customHeight="1" x14ac:dyDescent="0.25">
      <c r="A42" s="28" t="s">
        <v>191</v>
      </c>
      <c r="B42" s="28" t="s">
        <v>191</v>
      </c>
      <c r="C42" s="28"/>
      <c r="D42" s="28"/>
      <c r="E42" s="10"/>
      <c r="F42" s="10"/>
      <c r="G42" s="10">
        <v>1</v>
      </c>
      <c r="H42" s="10" t="s">
        <v>168</v>
      </c>
      <c r="I42" s="11"/>
      <c r="J42" s="11" t="s">
        <v>247</v>
      </c>
      <c r="K42" s="39">
        <v>310</v>
      </c>
      <c r="L42" s="38">
        <f t="shared" si="0"/>
        <v>310</v>
      </c>
    </row>
    <row r="43" spans="1:12" ht="56.4" customHeight="1" x14ac:dyDescent="0.25">
      <c r="A43" s="28" t="s">
        <v>192</v>
      </c>
      <c r="B43" s="28" t="s">
        <v>202</v>
      </c>
      <c r="C43" s="28"/>
      <c r="D43" s="28"/>
      <c r="E43" s="10"/>
      <c r="F43" s="10"/>
      <c r="G43" s="10">
        <v>1</v>
      </c>
      <c r="H43" s="10" t="s">
        <v>168</v>
      </c>
      <c r="I43" s="11"/>
      <c r="J43" s="11" t="s">
        <v>227</v>
      </c>
      <c r="K43" s="39">
        <v>100</v>
      </c>
      <c r="L43" s="38">
        <f t="shared" si="0"/>
        <v>100</v>
      </c>
    </row>
    <row r="44" spans="1:12" ht="56.4" customHeight="1" x14ac:dyDescent="0.25">
      <c r="A44" s="28" t="s">
        <v>193</v>
      </c>
      <c r="B44" s="28" t="s">
        <v>193</v>
      </c>
      <c r="C44" s="28" t="s">
        <v>61</v>
      </c>
      <c r="D44" s="28"/>
      <c r="E44" s="10"/>
      <c r="F44" s="10"/>
      <c r="G44" s="10">
        <v>1</v>
      </c>
      <c r="H44" s="10" t="s">
        <v>168</v>
      </c>
      <c r="I44" s="11"/>
      <c r="J44" s="11" t="s">
        <v>227</v>
      </c>
      <c r="K44" s="39">
        <v>280</v>
      </c>
      <c r="L44" s="38">
        <f t="shared" si="0"/>
        <v>280</v>
      </c>
    </row>
    <row r="45" spans="1:12" ht="97.2" x14ac:dyDescent="0.25">
      <c r="A45" s="28" t="s">
        <v>194</v>
      </c>
      <c r="B45" s="28" t="s">
        <v>194</v>
      </c>
      <c r="C45" s="28" t="s">
        <v>62</v>
      </c>
      <c r="D45" s="28"/>
      <c r="E45" s="10"/>
      <c r="F45" s="10"/>
      <c r="G45" s="10">
        <v>1</v>
      </c>
      <c r="H45" s="10" t="s">
        <v>168</v>
      </c>
      <c r="I45" s="11"/>
      <c r="J45" s="11" t="s">
        <v>248</v>
      </c>
      <c r="K45" s="39">
        <v>850</v>
      </c>
      <c r="L45" s="38">
        <f t="shared" si="0"/>
        <v>850</v>
      </c>
    </row>
    <row r="46" spans="1:12" ht="102" customHeight="1" x14ac:dyDescent="0.25">
      <c r="A46" s="28" t="s">
        <v>236</v>
      </c>
      <c r="B46" s="28" t="s">
        <v>39</v>
      </c>
      <c r="C46" s="28"/>
      <c r="D46" s="28"/>
      <c r="E46" s="10"/>
      <c r="F46" s="10"/>
      <c r="G46" s="10">
        <v>1</v>
      </c>
      <c r="H46" s="10" t="s">
        <v>168</v>
      </c>
      <c r="I46" s="11" t="s">
        <v>250</v>
      </c>
      <c r="J46" s="11" t="s">
        <v>237</v>
      </c>
      <c r="K46" s="39">
        <v>9250</v>
      </c>
      <c r="L46" s="38">
        <f t="shared" si="0"/>
        <v>9250</v>
      </c>
    </row>
    <row r="47" spans="1:12" ht="39.75" customHeight="1" x14ac:dyDescent="0.25">
      <c r="A47" s="28" t="s">
        <v>195</v>
      </c>
      <c r="B47" s="28" t="s">
        <v>63</v>
      </c>
      <c r="C47" s="28"/>
      <c r="D47" s="28"/>
      <c r="E47" s="10"/>
      <c r="F47" s="10"/>
      <c r="G47" s="10">
        <v>35</v>
      </c>
      <c r="H47" s="10" t="s">
        <v>196</v>
      </c>
      <c r="I47" s="11"/>
      <c r="J47" s="11"/>
      <c r="K47" s="39">
        <v>75</v>
      </c>
      <c r="L47" s="38">
        <f t="shared" si="0"/>
        <v>2625</v>
      </c>
    </row>
    <row r="48" spans="1:12" ht="162.6" thickBot="1" x14ac:dyDescent="0.3">
      <c r="A48" s="28" t="s">
        <v>210</v>
      </c>
      <c r="B48" s="28" t="s">
        <v>208</v>
      </c>
      <c r="C48" s="28" t="s">
        <v>209</v>
      </c>
      <c r="D48" s="28"/>
      <c r="E48" s="10"/>
      <c r="F48" s="10"/>
      <c r="G48" s="10">
        <v>1</v>
      </c>
      <c r="H48" s="10" t="s">
        <v>168</v>
      </c>
      <c r="I48" s="11" t="s">
        <v>239</v>
      </c>
      <c r="J48" s="11" t="s">
        <v>249</v>
      </c>
      <c r="K48" s="39">
        <v>150000</v>
      </c>
      <c r="L48" s="38">
        <f t="shared" si="0"/>
        <v>150000</v>
      </c>
    </row>
    <row r="49" spans="1:12" ht="37.200000000000003" customHeight="1" thickBot="1" x14ac:dyDescent="0.3">
      <c r="A49" s="30"/>
      <c r="B49" s="30"/>
      <c r="C49" s="30"/>
      <c r="D49" s="31"/>
      <c r="E49" s="31"/>
      <c r="F49" s="31"/>
      <c r="G49" s="31"/>
      <c r="H49" s="31"/>
      <c r="I49" s="32"/>
      <c r="J49" s="8"/>
      <c r="K49" s="15" t="s">
        <v>12</v>
      </c>
      <c r="L49" s="16">
        <f>SUM(L23:L47)</f>
        <v>235006</v>
      </c>
    </row>
    <row r="50" spans="1:12" ht="27.6" customHeight="1" thickBot="1" x14ac:dyDescent="0.3">
      <c r="A50" s="33"/>
      <c r="B50" s="32"/>
      <c r="C50" s="33"/>
      <c r="D50" s="31"/>
      <c r="E50" s="31"/>
      <c r="F50" s="31"/>
      <c r="G50" s="31"/>
      <c r="H50" s="34"/>
      <c r="I50" s="32"/>
      <c r="J50" s="8"/>
      <c r="K50" s="15" t="s">
        <v>11</v>
      </c>
      <c r="L50" s="17">
        <f>L49/K11</f>
        <v>4560.4162098281249</v>
      </c>
    </row>
    <row r="51" spans="1:12" ht="20.399999999999999" customHeight="1" thickBot="1" x14ac:dyDescent="0.3">
      <c r="A51" s="2"/>
      <c r="B51" s="2"/>
      <c r="C51" s="2"/>
      <c r="D51" s="2"/>
      <c r="E51" s="2"/>
      <c r="F51" s="2"/>
      <c r="G51" s="2"/>
      <c r="H51" s="2"/>
      <c r="I51" s="2"/>
      <c r="J51" s="2"/>
      <c r="L51" s="2"/>
    </row>
    <row r="52" spans="1:12" ht="17.25" customHeight="1" x14ac:dyDescent="0.25">
      <c r="A52" s="69" t="s">
        <v>18</v>
      </c>
      <c r="B52" s="72"/>
      <c r="C52" s="72"/>
      <c r="D52" s="72"/>
      <c r="E52" s="72"/>
      <c r="F52" s="72"/>
      <c r="G52" s="72"/>
      <c r="H52" s="72"/>
      <c r="I52" s="72"/>
      <c r="J52" s="73"/>
    </row>
    <row r="53" spans="1:12" x14ac:dyDescent="0.25">
      <c r="A53" s="70"/>
      <c r="B53" s="74"/>
      <c r="C53" s="74"/>
      <c r="D53" s="74"/>
      <c r="E53" s="74"/>
      <c r="F53" s="74"/>
      <c r="G53" s="74"/>
      <c r="H53" s="74"/>
      <c r="I53" s="74"/>
      <c r="J53" s="75"/>
    </row>
    <row r="54" spans="1:12" x14ac:dyDescent="0.25">
      <c r="A54" s="70"/>
      <c r="B54" s="74"/>
      <c r="C54" s="74"/>
      <c r="D54" s="74"/>
      <c r="E54" s="74"/>
      <c r="F54" s="74"/>
      <c r="G54" s="74"/>
      <c r="H54" s="74"/>
      <c r="I54" s="74"/>
      <c r="J54" s="75"/>
    </row>
    <row r="55" spans="1:12" ht="51" customHeight="1" x14ac:dyDescent="0.25">
      <c r="A55" s="70"/>
      <c r="B55" s="74"/>
      <c r="C55" s="74"/>
      <c r="D55" s="74"/>
      <c r="E55" s="74"/>
      <c r="F55" s="74"/>
      <c r="G55" s="74"/>
      <c r="H55" s="74"/>
      <c r="I55" s="74"/>
      <c r="J55" s="75"/>
    </row>
    <row r="56" spans="1:12" x14ac:dyDescent="0.25">
      <c r="A56" s="70"/>
      <c r="B56" s="74"/>
      <c r="C56" s="74"/>
      <c r="D56" s="74"/>
      <c r="E56" s="74"/>
      <c r="F56" s="74"/>
      <c r="G56" s="74"/>
      <c r="H56" s="74"/>
      <c r="I56" s="74"/>
      <c r="J56" s="75"/>
    </row>
    <row r="57" spans="1:12" ht="14.4" thickBot="1" x14ac:dyDescent="0.3">
      <c r="A57" s="71"/>
      <c r="B57" s="76"/>
      <c r="C57" s="76"/>
      <c r="D57" s="76"/>
      <c r="E57" s="76"/>
      <c r="F57" s="76"/>
      <c r="G57" s="76"/>
      <c r="H57" s="76"/>
      <c r="I57" s="76"/>
      <c r="J57" s="77"/>
    </row>
    <row r="58" spans="1:12" ht="21.6" thickBot="1" x14ac:dyDescent="0.4">
      <c r="A58" s="26"/>
    </row>
    <row r="59" spans="1:12" ht="13.95" customHeight="1" x14ac:dyDescent="0.25">
      <c r="A59" s="60" t="s">
        <v>19</v>
      </c>
      <c r="B59" s="63" t="s">
        <v>20</v>
      </c>
      <c r="C59" s="63"/>
      <c r="D59" s="63"/>
      <c r="E59" s="63"/>
      <c r="F59" s="63"/>
      <c r="G59" s="63"/>
      <c r="H59" s="63"/>
      <c r="I59" s="63"/>
      <c r="J59" s="64"/>
    </row>
    <row r="60" spans="1:12" ht="13.95" customHeight="1" x14ac:dyDescent="0.25">
      <c r="A60" s="61"/>
      <c r="B60" s="65"/>
      <c r="C60" s="65"/>
      <c r="D60" s="65"/>
      <c r="E60" s="65"/>
      <c r="F60" s="65"/>
      <c r="G60" s="65"/>
      <c r="H60" s="65"/>
      <c r="I60" s="65"/>
      <c r="J60" s="66"/>
    </row>
    <row r="61" spans="1:12" ht="13.95" customHeight="1" x14ac:dyDescent="0.25">
      <c r="A61" s="61"/>
      <c r="B61" s="65"/>
      <c r="C61" s="65"/>
      <c r="D61" s="65"/>
      <c r="E61" s="65"/>
      <c r="F61" s="65"/>
      <c r="G61" s="65"/>
      <c r="H61" s="65"/>
      <c r="I61" s="65"/>
      <c r="J61" s="66"/>
    </row>
    <row r="62" spans="1:12" ht="13.95" customHeight="1" x14ac:dyDescent="0.25">
      <c r="A62" s="61"/>
      <c r="B62" s="65"/>
      <c r="C62" s="65"/>
      <c r="D62" s="65"/>
      <c r="E62" s="65"/>
      <c r="F62" s="65"/>
      <c r="G62" s="65"/>
      <c r="H62" s="65"/>
      <c r="I62" s="65"/>
      <c r="J62" s="66"/>
    </row>
    <row r="63" spans="1:12" ht="13.95" customHeight="1" x14ac:dyDescent="0.25">
      <c r="A63" s="61"/>
      <c r="B63" s="65"/>
      <c r="C63" s="65"/>
      <c r="D63" s="65"/>
      <c r="E63" s="65"/>
      <c r="F63" s="65"/>
      <c r="G63" s="65"/>
      <c r="H63" s="65"/>
      <c r="I63" s="65"/>
      <c r="J63" s="66"/>
    </row>
    <row r="64" spans="1:12" ht="13.95" customHeight="1" x14ac:dyDescent="0.25">
      <c r="A64" s="61"/>
      <c r="B64" s="65"/>
      <c r="C64" s="65"/>
      <c r="D64" s="65"/>
      <c r="E64" s="65"/>
      <c r="F64" s="65"/>
      <c r="G64" s="65"/>
      <c r="H64" s="65"/>
      <c r="I64" s="65"/>
      <c r="J64" s="66"/>
    </row>
    <row r="65" spans="1:10" ht="13.95" customHeight="1" x14ac:dyDescent="0.25">
      <c r="A65" s="61"/>
      <c r="B65" s="65"/>
      <c r="C65" s="65"/>
      <c r="D65" s="65"/>
      <c r="E65" s="65"/>
      <c r="F65" s="65"/>
      <c r="G65" s="65"/>
      <c r="H65" s="65"/>
      <c r="I65" s="65"/>
      <c r="J65" s="66"/>
    </row>
    <row r="66" spans="1:10" ht="14.4" customHeight="1" x14ac:dyDescent="0.25">
      <c r="A66" s="61"/>
      <c r="B66" s="65"/>
      <c r="C66" s="65"/>
      <c r="D66" s="65"/>
      <c r="E66" s="65"/>
      <c r="F66" s="65"/>
      <c r="G66" s="65"/>
      <c r="H66" s="65"/>
      <c r="I66" s="65"/>
      <c r="J66" s="66"/>
    </row>
    <row r="67" spans="1:10" ht="14.4" customHeight="1" x14ac:dyDescent="0.25">
      <c r="A67" s="61"/>
      <c r="B67" s="65"/>
      <c r="C67" s="65"/>
      <c r="D67" s="65"/>
      <c r="E67" s="65"/>
      <c r="F67" s="65"/>
      <c r="G67" s="65"/>
      <c r="H67" s="65"/>
      <c r="I67" s="65"/>
      <c r="J67" s="66"/>
    </row>
    <row r="68" spans="1:10" ht="14.4" customHeight="1" thickBot="1" x14ac:dyDescent="0.3">
      <c r="A68" s="62"/>
      <c r="B68" s="67"/>
      <c r="C68" s="67"/>
      <c r="D68" s="67"/>
      <c r="E68" s="67"/>
      <c r="F68" s="67"/>
      <c r="G68" s="67"/>
      <c r="H68" s="67"/>
      <c r="I68" s="67"/>
      <c r="J68" s="68"/>
    </row>
    <row r="76" spans="1:10" x14ac:dyDescent="0.25">
      <c r="A76" s="1" t="s">
        <v>0</v>
      </c>
      <c r="B76" s="1" t="s">
        <v>3</v>
      </c>
      <c r="C76" s="1" t="s">
        <v>22</v>
      </c>
      <c r="D76" s="1" t="s">
        <v>4</v>
      </c>
      <c r="E76" s="1" t="s">
        <v>7</v>
      </c>
      <c r="F76" s="1" t="s">
        <v>64</v>
      </c>
      <c r="G76" s="1" t="s">
        <v>5</v>
      </c>
      <c r="H76" s="1" t="s">
        <v>1</v>
      </c>
    </row>
    <row r="77" spans="1:10" x14ac:dyDescent="0.25">
      <c r="A77" s="35" t="s">
        <v>65</v>
      </c>
      <c r="B77" s="1" t="s">
        <v>66</v>
      </c>
      <c r="C77" s="1" t="s">
        <v>38</v>
      </c>
      <c r="E77" s="1" t="s">
        <v>67</v>
      </c>
      <c r="F77" s="1" t="s">
        <v>68</v>
      </c>
      <c r="G77" s="1" t="s">
        <v>69</v>
      </c>
      <c r="H77" s="1" t="s">
        <v>70</v>
      </c>
    </row>
    <row r="78" spans="1:10" x14ac:dyDescent="0.25">
      <c r="A78" s="35" t="s">
        <v>71</v>
      </c>
      <c r="B78" s="1" t="s">
        <v>72</v>
      </c>
      <c r="C78" s="1" t="s">
        <v>73</v>
      </c>
      <c r="E78" s="1" t="s">
        <v>67</v>
      </c>
      <c r="F78" s="1" t="s">
        <v>74</v>
      </c>
      <c r="G78" s="1" t="s">
        <v>67</v>
      </c>
      <c r="H78" s="1" t="s">
        <v>70</v>
      </c>
    </row>
    <row r="79" spans="1:10" x14ac:dyDescent="0.25">
      <c r="A79" s="35" t="s">
        <v>75</v>
      </c>
      <c r="B79" s="1" t="s">
        <v>76</v>
      </c>
      <c r="C79" s="1" t="s">
        <v>77</v>
      </c>
      <c r="E79" s="1" t="s">
        <v>67</v>
      </c>
      <c r="F79" s="1" t="s">
        <v>78</v>
      </c>
      <c r="G79" s="1" t="s">
        <v>79</v>
      </c>
      <c r="H79" s="1" t="s">
        <v>70</v>
      </c>
    </row>
    <row r="80" spans="1:10" x14ac:dyDescent="0.25">
      <c r="A80" s="1" t="s">
        <v>80</v>
      </c>
      <c r="B80" s="1" t="s">
        <v>81</v>
      </c>
      <c r="C80" s="1" t="s">
        <v>82</v>
      </c>
      <c r="E80" s="1" t="s">
        <v>67</v>
      </c>
      <c r="F80" s="1" t="s">
        <v>83</v>
      </c>
      <c r="G80" s="1" t="s">
        <v>67</v>
      </c>
      <c r="H80" s="1" t="s">
        <v>70</v>
      </c>
    </row>
    <row r="81" spans="1:8" x14ac:dyDescent="0.25">
      <c r="A81" s="1" t="s">
        <v>84</v>
      </c>
      <c r="B81" s="1" t="s">
        <v>81</v>
      </c>
      <c r="C81" s="1" t="s">
        <v>85</v>
      </c>
      <c r="E81" s="1" t="s">
        <v>67</v>
      </c>
      <c r="F81" s="1" t="s">
        <v>86</v>
      </c>
      <c r="G81" s="1" t="s">
        <v>87</v>
      </c>
      <c r="H81" s="1" t="s">
        <v>70</v>
      </c>
    </row>
    <row r="82" spans="1:8" x14ac:dyDescent="0.25">
      <c r="A82" s="1" t="s">
        <v>40</v>
      </c>
      <c r="B82" s="1" t="s">
        <v>88</v>
      </c>
      <c r="C82" s="1" t="s">
        <v>89</v>
      </c>
      <c r="E82" s="1" t="s">
        <v>67</v>
      </c>
      <c r="F82" s="1" t="s">
        <v>90</v>
      </c>
      <c r="G82" s="1" t="s">
        <v>91</v>
      </c>
      <c r="H82" s="1" t="s">
        <v>70</v>
      </c>
    </row>
    <row r="83" spans="1:8" x14ac:dyDescent="0.25">
      <c r="A83" s="1" t="s">
        <v>32</v>
      </c>
      <c r="B83" s="1" t="s">
        <v>92</v>
      </c>
      <c r="C83" s="1" t="s">
        <v>93</v>
      </c>
      <c r="E83" s="1" t="s">
        <v>67</v>
      </c>
      <c r="F83" s="1" t="s">
        <v>94</v>
      </c>
      <c r="G83" s="1" t="s">
        <v>95</v>
      </c>
      <c r="H83" s="1" t="s">
        <v>70</v>
      </c>
    </row>
    <row r="84" spans="1:8" x14ac:dyDescent="0.25">
      <c r="A84" s="1" t="s">
        <v>96</v>
      </c>
      <c r="B84" s="1" t="s">
        <v>97</v>
      </c>
      <c r="C84" s="1" t="s">
        <v>98</v>
      </c>
      <c r="E84" s="1" t="s">
        <v>67</v>
      </c>
      <c r="F84" s="1" t="s">
        <v>99</v>
      </c>
      <c r="G84" s="1" t="s">
        <v>67</v>
      </c>
      <c r="H84" s="1" t="s">
        <v>70</v>
      </c>
    </row>
    <row r="85" spans="1:8" x14ac:dyDescent="0.25">
      <c r="A85" s="1" t="s">
        <v>100</v>
      </c>
      <c r="B85" s="1" t="s">
        <v>101</v>
      </c>
      <c r="C85" s="1" t="s">
        <v>102</v>
      </c>
      <c r="E85" s="1" t="s">
        <v>67</v>
      </c>
      <c r="F85" s="1" t="s">
        <v>103</v>
      </c>
      <c r="G85" s="1" t="s">
        <v>104</v>
      </c>
      <c r="H85" s="1" t="s">
        <v>70</v>
      </c>
    </row>
    <row r="86" spans="1:8" x14ac:dyDescent="0.25">
      <c r="A86" s="1" t="s">
        <v>105</v>
      </c>
      <c r="B86" s="1" t="s">
        <v>106</v>
      </c>
      <c r="C86" s="1" t="s">
        <v>107</v>
      </c>
      <c r="E86" s="1" t="s">
        <v>67</v>
      </c>
      <c r="F86" s="1" t="s">
        <v>108</v>
      </c>
      <c r="G86" s="1" t="s">
        <v>109</v>
      </c>
      <c r="H86" s="1" t="s">
        <v>70</v>
      </c>
    </row>
    <row r="87" spans="1:8" x14ac:dyDescent="0.25">
      <c r="A87" s="1" t="s">
        <v>110</v>
      </c>
      <c r="B87" s="1" t="s">
        <v>111</v>
      </c>
      <c r="C87" s="1" t="s">
        <v>112</v>
      </c>
      <c r="E87" s="1" t="s">
        <v>67</v>
      </c>
      <c r="F87" s="1" t="s">
        <v>113</v>
      </c>
      <c r="G87" s="1" t="s">
        <v>114</v>
      </c>
      <c r="H87" s="1" t="s">
        <v>115</v>
      </c>
    </row>
    <row r="88" spans="1:8" x14ac:dyDescent="0.25">
      <c r="A88" s="1" t="s">
        <v>116</v>
      </c>
      <c r="B88" s="1" t="s">
        <v>117</v>
      </c>
      <c r="C88" s="1" t="s">
        <v>118</v>
      </c>
      <c r="E88" s="1" t="s">
        <v>67</v>
      </c>
      <c r="F88" s="1" t="s">
        <v>119</v>
      </c>
      <c r="G88" s="1" t="s">
        <v>120</v>
      </c>
      <c r="H88" s="1" t="s">
        <v>70</v>
      </c>
    </row>
    <row r="89" spans="1:8" x14ac:dyDescent="0.25">
      <c r="A89" s="1" t="s">
        <v>121</v>
      </c>
      <c r="B89" s="1" t="s">
        <v>122</v>
      </c>
      <c r="C89" s="1" t="s">
        <v>123</v>
      </c>
      <c r="E89" s="1" t="s">
        <v>67</v>
      </c>
      <c r="F89" s="1" t="s">
        <v>124</v>
      </c>
      <c r="G89" s="1" t="s">
        <v>125</v>
      </c>
      <c r="H89" s="1" t="s">
        <v>70</v>
      </c>
    </row>
    <row r="90" spans="1:8" x14ac:dyDescent="0.25">
      <c r="A90" s="1" t="s">
        <v>126</v>
      </c>
      <c r="B90" s="1" t="s">
        <v>127</v>
      </c>
      <c r="C90" s="1" t="s">
        <v>128</v>
      </c>
      <c r="E90" s="1" t="s">
        <v>67</v>
      </c>
      <c r="F90" s="1" t="s">
        <v>129</v>
      </c>
      <c r="G90" s="1" t="s">
        <v>67</v>
      </c>
      <c r="H90" s="1" t="s">
        <v>70</v>
      </c>
    </row>
    <row r="91" spans="1:8" x14ac:dyDescent="0.25">
      <c r="A91" s="1" t="s">
        <v>130</v>
      </c>
      <c r="B91" s="1" t="s">
        <v>131</v>
      </c>
      <c r="C91" s="1" t="s">
        <v>132</v>
      </c>
      <c r="E91" s="1" t="s">
        <v>67</v>
      </c>
      <c r="F91" s="1" t="s">
        <v>133</v>
      </c>
      <c r="G91" s="1" t="s">
        <v>67</v>
      </c>
      <c r="H91" s="1" t="s">
        <v>70</v>
      </c>
    </row>
    <row r="92" spans="1:8" x14ac:dyDescent="0.25">
      <c r="A92" s="1" t="s">
        <v>48</v>
      </c>
      <c r="B92" s="1" t="s">
        <v>134</v>
      </c>
      <c r="C92" s="1" t="s">
        <v>135</v>
      </c>
      <c r="E92" s="1" t="s">
        <v>67</v>
      </c>
      <c r="F92" s="1" t="s">
        <v>136</v>
      </c>
      <c r="G92" s="1" t="s">
        <v>137</v>
      </c>
      <c r="H92" s="1" t="s">
        <v>70</v>
      </c>
    </row>
    <row r="93" spans="1:8" x14ac:dyDescent="0.25">
      <c r="A93" s="1" t="s">
        <v>138</v>
      </c>
      <c r="B93" s="1" t="s">
        <v>138</v>
      </c>
      <c r="C93" s="1" t="s">
        <v>139</v>
      </c>
      <c r="E93" s="1" t="s">
        <v>67</v>
      </c>
      <c r="F93" s="1" t="s">
        <v>140</v>
      </c>
      <c r="G93" s="1" t="s">
        <v>67</v>
      </c>
      <c r="H93" s="1" t="s">
        <v>70</v>
      </c>
    </row>
    <row r="94" spans="1:8" x14ac:dyDescent="0.25">
      <c r="A94" s="1" t="s">
        <v>50</v>
      </c>
      <c r="B94" s="1" t="s">
        <v>141</v>
      </c>
      <c r="C94" s="1" t="s">
        <v>53</v>
      </c>
      <c r="E94" s="1" t="s">
        <v>67</v>
      </c>
      <c r="F94" s="1" t="s">
        <v>142</v>
      </c>
      <c r="G94" s="1" t="s">
        <v>143</v>
      </c>
      <c r="H94" s="1" t="s">
        <v>70</v>
      </c>
    </row>
    <row r="95" spans="1:8" x14ac:dyDescent="0.25">
      <c r="A95" s="1" t="s">
        <v>51</v>
      </c>
      <c r="B95" s="1" t="s">
        <v>144</v>
      </c>
      <c r="C95" s="1" t="s">
        <v>145</v>
      </c>
      <c r="E95" s="1" t="s">
        <v>67</v>
      </c>
      <c r="F95" s="1" t="s">
        <v>146</v>
      </c>
      <c r="G95" s="1" t="s">
        <v>67</v>
      </c>
      <c r="H95" s="1" t="s">
        <v>70</v>
      </c>
    </row>
    <row r="96" spans="1:8" x14ac:dyDescent="0.25">
      <c r="A96" s="1" t="s">
        <v>56</v>
      </c>
      <c r="B96" s="1" t="s">
        <v>147</v>
      </c>
      <c r="C96" s="1" t="s">
        <v>148</v>
      </c>
      <c r="E96" s="1" t="s">
        <v>67</v>
      </c>
      <c r="F96" s="1" t="s">
        <v>149</v>
      </c>
      <c r="G96" s="1" t="s">
        <v>67</v>
      </c>
      <c r="H96" s="1" t="s">
        <v>150</v>
      </c>
    </row>
    <row r="97" spans="1:8" x14ac:dyDescent="0.25">
      <c r="A97" s="1" t="s">
        <v>59</v>
      </c>
      <c r="B97" s="1" t="s">
        <v>151</v>
      </c>
      <c r="C97" s="1" t="s">
        <v>152</v>
      </c>
      <c r="E97" s="1" t="s">
        <v>67</v>
      </c>
      <c r="F97" s="1" t="s">
        <v>153</v>
      </c>
      <c r="G97" s="1" t="s">
        <v>67</v>
      </c>
      <c r="H97" s="1" t="s">
        <v>70</v>
      </c>
    </row>
    <row r="98" spans="1:8" x14ac:dyDescent="0.25">
      <c r="A98" s="1" t="s">
        <v>52</v>
      </c>
      <c r="B98" s="1" t="s">
        <v>52</v>
      </c>
      <c r="C98" s="1" t="s">
        <v>141</v>
      </c>
      <c r="E98" s="1" t="s">
        <v>67</v>
      </c>
      <c r="F98" s="1" t="s">
        <v>154</v>
      </c>
      <c r="G98" s="1" t="s">
        <v>67</v>
      </c>
      <c r="H98" s="1" t="s">
        <v>70</v>
      </c>
    </row>
    <row r="99" spans="1:8" x14ac:dyDescent="0.25">
      <c r="A99" s="1" t="s">
        <v>155</v>
      </c>
      <c r="B99" s="1" t="s">
        <v>156</v>
      </c>
      <c r="C99" s="1" t="s">
        <v>157</v>
      </c>
      <c r="E99" s="1" t="s">
        <v>67</v>
      </c>
      <c r="F99" s="1" t="s">
        <v>158</v>
      </c>
      <c r="G99" s="1" t="s">
        <v>67</v>
      </c>
      <c r="H99" s="1" t="s">
        <v>70</v>
      </c>
    </row>
    <row r="100" spans="1:8" x14ac:dyDescent="0.25">
      <c r="A100" s="1" t="s">
        <v>159</v>
      </c>
      <c r="B100" s="1" t="s">
        <v>160</v>
      </c>
      <c r="C100" s="1" t="s">
        <v>161</v>
      </c>
      <c r="E100" s="1" t="s">
        <v>67</v>
      </c>
      <c r="F100" s="1" t="s">
        <v>158</v>
      </c>
      <c r="G100" s="1" t="s">
        <v>67</v>
      </c>
      <c r="H100" s="1" t="s">
        <v>70</v>
      </c>
    </row>
    <row r="101" spans="1:8" x14ac:dyDescent="0.25">
      <c r="A101" s="1" t="s">
        <v>162</v>
      </c>
      <c r="B101" s="1" t="s">
        <v>163</v>
      </c>
      <c r="C101" s="1" t="s">
        <v>164</v>
      </c>
      <c r="E101" s="1" t="s">
        <v>67</v>
      </c>
      <c r="F101" s="1" t="s">
        <v>165</v>
      </c>
      <c r="G101" s="1" t="s">
        <v>166</v>
      </c>
      <c r="H101" s="1" t="s">
        <v>70</v>
      </c>
    </row>
  </sheetData>
  <dataConsolidate/>
  <mergeCells count="25">
    <mergeCell ref="A59:A68"/>
    <mergeCell ref="B59:J68"/>
    <mergeCell ref="A52:A57"/>
    <mergeCell ref="B52:J57"/>
    <mergeCell ref="C9:H9"/>
    <mergeCell ref="C11:H11"/>
    <mergeCell ref="A15:B15"/>
    <mergeCell ref="A10:B10"/>
    <mergeCell ref="C13:H13"/>
    <mergeCell ref="C14:H14"/>
    <mergeCell ref="C10:H10"/>
    <mergeCell ref="C15:H15"/>
    <mergeCell ref="A9:B9"/>
    <mergeCell ref="A11:B11"/>
    <mergeCell ref="A13:B13"/>
    <mergeCell ref="A14:B14"/>
    <mergeCell ref="A12:B12"/>
    <mergeCell ref="C12:H12"/>
    <mergeCell ref="C2:K4"/>
    <mergeCell ref="C7:H7"/>
    <mergeCell ref="A7:B7"/>
    <mergeCell ref="A8:B8"/>
    <mergeCell ref="C8:H8"/>
    <mergeCell ref="A6:B6"/>
    <mergeCell ref="C6:H6"/>
  </mergeCells>
  <dataValidations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0:K12" xr:uid="{864835A5-8AE2-4C18-80F2-FB886F7E3052}">
      <formula1>J10(TRUE,FALSE)</formula1>
    </dataValidation>
    <dataValidation type="list" allowBlank="1" showInputMessage="1" showErrorMessage="1" sqref="C8:H8" xr:uid="{F584F331-B676-44B5-82BD-1DD89611CB44}">
      <formula1>"Teklif,Yaklaşık Bedel"</formula1>
    </dataValidation>
  </dataValidations>
  <hyperlinks>
    <hyperlink ref="I46" r:id="rId1" display="https://www.agus.com.tr/ford-transit-ceki-demiri-2014-" xr:uid="{2037544B-5909-4883-BF8A-D1CCE8006F3D}"/>
  </hyperlinks>
  <pageMargins left="0.7" right="0.7" top="0.75" bottom="0.75" header="0.3" footer="0.3"/>
  <pageSetup paperSize="9" scale="12" orientation="landscape"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MEBS ARACI</vt:lpstr>
      <vt:lpstr>'MEBS ARACI'!Yazdırma_Alanı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Yeliz Cosar</cp:lastModifiedBy>
  <cp:lastPrinted>2026-03-30T09:19:49Z</cp:lastPrinted>
  <dcterms:created xsi:type="dcterms:W3CDTF">2026-03-25T06:09:07Z</dcterms:created>
  <dcterms:modified xsi:type="dcterms:W3CDTF">2026-04-22T10:21:56Z</dcterms:modified>
</cp:coreProperties>
</file>