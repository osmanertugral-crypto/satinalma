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-SVC MALİYET DOSYALARI\YDIŞI\TEKLİF006-WC KARAVANI\"/>
    </mc:Choice>
  </mc:AlternateContent>
  <xr:revisionPtr revIDLastSave="0" documentId="13_ncr:1_{46956146-0711-43DF-B10E-9160A14A9625}" xr6:coauthVersionLast="47" xr6:coauthVersionMax="47" xr10:uidLastSave="{00000000-0000-0000-0000-000000000000}"/>
  <bookViews>
    <workbookView xWindow="-108" yWindow="-108" windowWidth="23256" windowHeight="12456" activeTab="1" xr2:uid="{BA95FC1E-CD1B-490F-9A0C-080875F12861}"/>
  </bookViews>
  <sheets>
    <sheet name="Dalia Massoud, Mısır" sheetId="8" r:id="rId1"/>
    <sheet name="ARAÇ FİYATLARI" sheetId="9" r:id="rId2"/>
  </sheets>
  <definedNames>
    <definedName name="_xlnm.Print_Area" localSheetId="1">'ARAÇ FİYATLARI'!$A$7:$E$11</definedName>
    <definedName name="_xlnm.Print_Area" localSheetId="0">'Dalia Massoud, Mısır'!$A$1:$L$41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0" i="8" l="1"/>
  <c r="O19" i="8"/>
  <c r="O18" i="8"/>
  <c r="O17" i="8"/>
  <c r="M20" i="8"/>
  <c r="M19" i="8"/>
  <c r="M18" i="8"/>
  <c r="M17" i="8"/>
  <c r="AB32" i="8"/>
  <c r="AB34" i="8" s="1"/>
  <c r="AB21" i="8"/>
  <c r="AB23" i="8" s="1"/>
  <c r="X20" i="8"/>
  <c r="X22" i="8" s="1"/>
  <c r="Q31" i="8"/>
  <c r="Q33" i="8" s="1"/>
  <c r="L22" i="8"/>
  <c r="L23" i="8" s="1"/>
</calcChain>
</file>

<file path=xl/sharedStrings.xml><?xml version="1.0" encoding="utf-8"?>
<sst xmlns="http://schemas.openxmlformats.org/spreadsheetml/2006/main" count="88" uniqueCount="76">
  <si>
    <t>Kategori</t>
  </si>
  <si>
    <t>Birim</t>
  </si>
  <si>
    <t>Birim Fiyat</t>
  </si>
  <si>
    <t>Parça / Ürün Adı</t>
  </si>
  <si>
    <t>Marka</t>
  </si>
  <si>
    <t>Ölçü / Ebat</t>
  </si>
  <si>
    <t>Toplam Fiyat</t>
  </si>
  <si>
    <t>Görsel</t>
  </si>
  <si>
    <t>PROJE</t>
  </si>
  <si>
    <t>ÜSTYAPI</t>
  </si>
  <si>
    <t>RENK</t>
  </si>
  <si>
    <t>Euro</t>
  </si>
  <si>
    <t>TL</t>
  </si>
  <si>
    <t>Dolar</t>
  </si>
  <si>
    <t>ADET</t>
  </si>
  <si>
    <t>ÜLKE</t>
  </si>
  <si>
    <t>KURUM / FİRMA</t>
  </si>
  <si>
    <t>Retech</t>
  </si>
  <si>
    <t xml:space="preserve">MÜŞTERİ
ÖZEL NOTU </t>
  </si>
  <si>
    <t xml:space="preserve">SATIN ALMA
ÖZEL NOTU </t>
  </si>
  <si>
    <t>SATIN ALMA DEPARTMANI TARAFINDAN DOLDURULACAK</t>
  </si>
  <si>
    <t>Satın Alma Notu</t>
  </si>
  <si>
    <t>Parça Açıklaması</t>
  </si>
  <si>
    <t>Termin</t>
  </si>
  <si>
    <t>Satış Departmanı</t>
  </si>
  <si>
    <t>Satın Alma Departmanı</t>
  </si>
  <si>
    <t>Ürün &amp; ARGE Departmanı</t>
  </si>
  <si>
    <t xml:space="preserve">TEKLİF TÜRÜ </t>
  </si>
  <si>
    <t>Ürün Departmanı Notu</t>
  </si>
  <si>
    <t>Yaklaşık Bedel</t>
  </si>
  <si>
    <t>OLUŞTURULAN TARİH</t>
  </si>
  <si>
    <t>TEKLİF VERİLECEK TARİH</t>
  </si>
  <si>
    <t>-</t>
  </si>
  <si>
    <t>Genel</t>
  </si>
  <si>
    <t>Yurtdışı</t>
  </si>
  <si>
    <t>SVC</t>
  </si>
  <si>
    <t>NEO PRODUCTION</t>
  </si>
  <si>
    <t>Sanatçı Karavanı</t>
  </si>
  <si>
    <t>Yatak, banyo, soyunma alanı/kabini ve kahve yapımı için mini bir mutfak</t>
  </si>
  <si>
    <t>Makyaj Karavanı</t>
  </si>
  <si>
    <t>3 saç &amp; 3 makyaj masası/alanı</t>
  </si>
  <si>
    <t>Giyinme Karavanı</t>
  </si>
  <si>
    <t>Soyunma alanları ve içerisinde askılıklar olan 'gardırop araç'</t>
  </si>
  <si>
    <t>WC Karavanı</t>
  </si>
  <si>
    <t>3 kadın &amp; 3 erkek kabin olarak</t>
  </si>
  <si>
    <t>Özel bir not veya talep belitrilmedi. En uygun ve gerekli donanıma sahip araçlar sunulmalıdır.</t>
  </si>
  <si>
    <t>ARAÇ FİYATI</t>
  </si>
  <si>
    <t>KDVSİZ</t>
  </si>
  <si>
    <t>3.0</t>
  </si>
  <si>
    <t>70C 16</t>
  </si>
  <si>
    <t>35 s 16</t>
  </si>
  <si>
    <t>2,,3</t>
  </si>
  <si>
    <t>Uzun PRO TK 170 BG 5.0T 1+1</t>
  </si>
  <si>
    <t>SPRINTER</t>
  </si>
  <si>
    <t>5 ton</t>
  </si>
  <si>
    <t>3,5 ton</t>
  </si>
  <si>
    <t>Uzun PRO TK 170 BG 3.5T 2+1</t>
  </si>
  <si>
    <t>3,5 TON</t>
  </si>
  <si>
    <t>5 TON</t>
  </si>
  <si>
    <t>7 TON</t>
  </si>
  <si>
    <t>MERCEDES
2025</t>
  </si>
  <si>
    <t>IVECO
2025</t>
  </si>
  <si>
    <t>Makeup Caravan</t>
  </si>
  <si>
    <t>Artist Caravan</t>
  </si>
  <si>
    <t>Dressing Room Caravan</t>
  </si>
  <si>
    <t>WC Caravan</t>
  </si>
  <si>
    <t>Esk iFiyat</t>
  </si>
  <si>
    <t>Yeni Fiyat</t>
  </si>
  <si>
    <t>7 ton</t>
  </si>
  <si>
    <t xml:space="preserve">Car Details </t>
  </si>
  <si>
    <t>Iveco Daily Single Cab 7.0T GVW Manual 3.0L Engine</t>
  </si>
  <si>
    <t>Car Price</t>
  </si>
  <si>
    <t>Mercedes Sprinter Long PRO TK 170 BG 5.0T 1+1</t>
  </si>
  <si>
    <t>Mercedes Sprinter Long PRO TK 170 BG 3.5T 2+1</t>
  </si>
  <si>
    <t>Discounted 
Conversion Price</t>
  </si>
  <si>
    <t>List Conversion
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</si>
</sst>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₺&quot;* #,##0.00_-;\-&quot;₺&quot;* #,##0.00_-;_-&quot;₺&quot;* &quot;-&quot;??_-;_-@_-"/>
    <numFmt numFmtId="164" formatCode="_-[$€-2]\ * #,##0.00_-;\-[$€-2]\ * #,##0.00_-;_-[$€-2]\ * &quot;-&quot;??_-;_-@_-"/>
    <numFmt numFmtId="165" formatCode="_-[$₺-41F]* #,##0.00_-;\-[$₺-41F]* #,##0.00_-;_-[$₺-41F]* &quot;-&quot;??_-;_-@_-"/>
    <numFmt numFmtId="166" formatCode="_-[$€-2]\ * #,##0_-;\-[$€-2]\ * #,##0_-;_-[$€-2]\ * &quot;-&quot;??_-;_-@_-"/>
    <numFmt numFmtId="167" formatCode="_-[$₺-41F]* #,##0_-;\-[$₺-41F]* #,##0_-;_-[$₺-41F]* &quot;-&quot;??_-;_-@_-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Century Gothic"/>
      <family val="2"/>
      <charset val="162"/>
    </font>
    <font>
      <b/>
      <sz val="12"/>
      <color theme="1"/>
      <name val="Century Gothic"/>
      <family val="2"/>
      <charset val="162"/>
    </font>
    <font>
      <sz val="12"/>
      <color theme="1"/>
      <name val="Century Gothic"/>
      <family val="2"/>
      <charset val="162"/>
    </font>
    <font>
      <b/>
      <sz val="14"/>
      <color theme="1"/>
      <name val="Century Gothic"/>
      <family val="2"/>
      <charset val="162"/>
    </font>
    <font>
      <sz val="13"/>
      <color theme="1"/>
      <name val="Century Gothic"/>
      <family val="2"/>
      <charset val="162"/>
    </font>
    <font>
      <b/>
      <sz val="18"/>
      <color theme="1"/>
      <name val="Century Gothic"/>
      <family val="2"/>
      <charset val="162"/>
    </font>
    <font>
      <b/>
      <sz val="18"/>
      <color rgb="FFFF0000"/>
      <name val="Century Gothic"/>
      <family val="2"/>
      <charset val="162"/>
    </font>
    <font>
      <sz val="16"/>
      <color theme="1"/>
      <name val="Century Gothic"/>
      <family val="2"/>
      <charset val="162"/>
    </font>
    <font>
      <b/>
      <sz val="16"/>
      <color rgb="FFFF0000"/>
      <name val="Century Gothic"/>
      <family val="2"/>
      <charset val="162"/>
    </font>
    <font>
      <sz val="24"/>
      <color theme="1"/>
      <name val="Century Gothic"/>
      <family val="2"/>
      <charset val="162"/>
    </font>
    <font>
      <b/>
      <sz val="16"/>
      <color theme="1"/>
      <name val="Century Gothic"/>
      <family val="2"/>
      <charset val="162"/>
    </font>
    <font>
      <b/>
      <sz val="24"/>
      <color rgb="FFFF0000"/>
      <name val="Century Gothic"/>
      <family val="2"/>
      <charset val="162"/>
    </font>
    <font>
      <sz val="18"/>
      <color theme="1"/>
      <name val="Century Gothic"/>
      <family val="2"/>
      <charset val="162"/>
    </font>
    <font>
      <sz val="26"/>
      <color theme="1"/>
      <name val="Aptos Narrow"/>
      <family val="2"/>
      <charset val="162"/>
      <scheme val="minor"/>
    </font>
    <font>
      <b/>
      <sz val="11"/>
      <color rgb="FFFF0000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44" fontId="7" fillId="0" borderId="0" xfId="2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2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7" xfId="0" applyFont="1" applyFill="1" applyBorder="1"/>
    <xf numFmtId="0" fontId="5" fillId="5" borderId="28" xfId="0" applyFont="1" applyFill="1" applyBorder="1"/>
    <xf numFmtId="0" fontId="5" fillId="3" borderId="29" xfId="0" applyFont="1" applyFill="1" applyBorder="1"/>
    <xf numFmtId="44" fontId="8" fillId="2" borderId="5" xfId="0" applyNumberFormat="1" applyFont="1" applyFill="1" applyBorder="1" applyAlignment="1">
      <alignment horizontal="right" vertical="center"/>
    </xf>
    <xf numFmtId="165" fontId="9" fillId="0" borderId="9" xfId="2" applyNumberFormat="1" applyFont="1" applyBorder="1" applyAlignment="1">
      <alignment horizontal="center" vertical="center"/>
    </xf>
    <xf numFmtId="0" fontId="6" fillId="2" borderId="30" xfId="0" applyFont="1" applyFill="1" applyBorder="1"/>
    <xf numFmtId="0" fontId="6" fillId="2" borderId="31" xfId="0" applyFont="1" applyFill="1" applyBorder="1"/>
    <xf numFmtId="0" fontId="6" fillId="2" borderId="31" xfId="0" applyFont="1" applyFill="1" applyBorder="1" applyAlignment="1">
      <alignment horizontal="left"/>
    </xf>
    <xf numFmtId="0" fontId="7" fillId="4" borderId="17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5" borderId="18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center" vertical="center" wrapText="1"/>
    </xf>
    <xf numFmtId="164" fontId="7" fillId="3" borderId="18" xfId="2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vertical="center" wrapText="1"/>
    </xf>
    <xf numFmtId="0" fontId="7" fillId="4" borderId="23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 wrapText="1"/>
    </xf>
    <xf numFmtId="0" fontId="7" fillId="3" borderId="23" xfId="0" applyFont="1" applyFill="1" applyBorder="1" applyAlignment="1">
      <alignment horizontal="center" vertical="center" wrapText="1"/>
    </xf>
    <xf numFmtId="44" fontId="7" fillId="3" borderId="23" xfId="2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10" fillId="0" borderId="0" xfId="0" applyFont="1"/>
    <xf numFmtId="0" fontId="7" fillId="4" borderId="1" xfId="0" applyFont="1" applyFill="1" applyBorder="1" applyAlignment="1">
      <alignment horizontal="left" vertical="center"/>
    </xf>
    <xf numFmtId="49" fontId="7" fillId="4" borderId="18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166" fontId="9" fillId="0" borderId="12" xfId="2" applyNumberFormat="1" applyFont="1" applyBorder="1" applyAlignment="1">
      <alignment horizontal="center" vertical="center"/>
    </xf>
    <xf numFmtId="167" fontId="12" fillId="0" borderId="0" xfId="0" applyNumberFormat="1" applyFont="1"/>
    <xf numFmtId="164" fontId="14" fillId="0" borderId="0" xfId="0" applyNumberFormat="1" applyFont="1"/>
    <xf numFmtId="165" fontId="10" fillId="3" borderId="19" xfId="2" applyNumberFormat="1" applyFont="1" applyFill="1" applyBorder="1" applyAlignment="1">
      <alignment horizontal="center" vertical="center"/>
    </xf>
    <xf numFmtId="165" fontId="10" fillId="0" borderId="0" xfId="0" applyNumberFormat="1" applyFont="1"/>
    <xf numFmtId="164" fontId="15" fillId="0" borderId="0" xfId="0" applyNumberFormat="1" applyFont="1"/>
    <xf numFmtId="0" fontId="16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67" fontId="12" fillId="0" borderId="13" xfId="0" applyNumberFormat="1" applyFont="1" applyBorder="1"/>
    <xf numFmtId="0" fontId="13" fillId="0" borderId="0" xfId="0" applyFont="1"/>
    <xf numFmtId="0" fontId="3" fillId="0" borderId="14" xfId="0" applyFont="1" applyBorder="1"/>
    <xf numFmtId="0" fontId="3" fillId="0" borderId="13" xfId="0" applyFont="1" applyBorder="1"/>
    <xf numFmtId="164" fontId="14" fillId="0" borderId="10" xfId="0" applyNumberFormat="1" applyFont="1" applyBorder="1"/>
    <xf numFmtId="0" fontId="3" fillId="0" borderId="11" xfId="0" applyFont="1" applyBorder="1"/>
    <xf numFmtId="0" fontId="3" fillId="0" borderId="12" xfId="0" applyFont="1" applyBorder="1"/>
    <xf numFmtId="16" fontId="16" fillId="0" borderId="0" xfId="0" applyNumberFormat="1" applyFont="1"/>
    <xf numFmtId="0" fontId="6" fillId="2" borderId="1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14" fontId="6" fillId="4" borderId="18" xfId="0" applyNumberFormat="1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14" fontId="6" fillId="4" borderId="2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164" fontId="3" fillId="0" borderId="0" xfId="0" applyNumberFormat="1" applyFont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B4716F7D-D368-4BBC-B121-95FEF976DFCE}"/>
    <cellStyle name="ParaBirimi" xfId="2" builtinId="4"/>
  </cellStyles>
  <dxfs count="0"/>
  <tableStyles count="0" defaultTableStyle="TableStyleMedium2" defaultPivotStyle="PivotStyleLight16"/>
  <colors>
    <mruColors>
      <color rgb="FFFFFF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1052946</xdr:colOff>
      <xdr:row>1</xdr:row>
      <xdr:rowOff>152401</xdr:rowOff>
    </xdr:from>
    <xdr:to>
      <xdr:col>8</xdr:col>
      <xdr:colOff>2299856</xdr:colOff>
      <xdr:row>3</xdr:row>
      <xdr:rowOff>484909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A7DA640-A5E6-409B-A66B-0C20197C7D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956"/>
        <a:stretch>
          <a:fillRect/>
        </a:stretch>
      </xdr:blipFill>
      <xdr:spPr>
        <a:xfrm>
          <a:off x="10547466" y="304801"/>
          <a:ext cx="5834150" cy="13993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6E86-86D9-44C5-9576-15A64ABA1525}">
  <sheetPr>
    <pageSetUpPr fitToPage="1"/>
  </sheetPr>
  <dimension ref="A1:AD41"/>
  <sheetViews>
    <sheetView topLeftCell="O13" zoomScale="70" zoomScaleNormal="70" workbookViewId="0">
      <selection activeCell="X18" sqref="X18"/>
    </sheetView>
  </sheetViews>
  <sheetFormatPr defaultColWidth="9.109375" defaultRowHeight="13.8" x14ac:dyDescent="0.25"/>
  <cols>
    <col min="1" max="1" width="21.6640625" style="1" customWidth="1"/>
    <col min="2" max="2" width="33.77734375" style="1" customWidth="1"/>
    <col min="3" max="3" width="34" style="1" customWidth="1"/>
    <col min="4" max="4" width="23.77734375" style="1" customWidth="1"/>
    <col min="5" max="5" width="25.21875" style="1" hidden="1" customWidth="1"/>
    <col min="6" max="6" width="31.21875" style="1" hidden="1" customWidth="1"/>
    <col min="7" max="7" width="20.21875" style="1" hidden="1" customWidth="1"/>
    <col min="8" max="8" width="15.44140625" style="1" customWidth="1"/>
    <col min="9" max="9" width="71.88671875" style="1" hidden="1" customWidth="1"/>
    <col min="10" max="10" width="23.109375" style="1" hidden="1" customWidth="1"/>
    <col min="11" max="11" width="20.77734375" style="3" customWidth="1"/>
    <col min="12" max="12" width="32.109375" style="1" customWidth="1"/>
    <col min="13" max="13" width="26" style="1" customWidth="1"/>
    <col min="14" max="14" width="23.5546875" style="1" customWidth="1"/>
    <col min="15" max="16" width="21.33203125" style="1" customWidth="1"/>
    <col min="17" max="17" width="30.88671875" style="1" customWidth="1"/>
    <col min="18" max="18" width="11.44140625" style="1" bestFit="1" customWidth="1"/>
    <col min="19" max="19" width="13.21875" style="1" bestFit="1" customWidth="1"/>
    <col min="20" max="23" width="9.109375" style="1"/>
    <col min="24" max="24" width="30.21875" style="1" bestFit="1" customWidth="1"/>
    <col min="25" max="25" width="16.44140625" style="1" customWidth="1"/>
    <col min="26" max="27" width="9.109375" style="1"/>
    <col min="28" max="28" width="59.77734375" style="1" bestFit="1" customWidth="1"/>
    <col min="29" max="29" width="20.33203125" style="1" customWidth="1"/>
    <col min="30" max="30" width="14.33203125" style="1" customWidth="1"/>
    <col min="31" max="16384" width="9.109375" style="1"/>
  </cols>
  <sheetData>
    <row r="1" spans="1:15" ht="12" customHeight="1" thickBot="1" x14ac:dyDescent="0.3"/>
    <row r="2" spans="1:15" ht="42.6" customHeight="1" x14ac:dyDescent="0.25">
      <c r="A2" s="20"/>
      <c r="B2" s="40" t="s">
        <v>24</v>
      </c>
      <c r="C2" s="72"/>
      <c r="D2" s="73"/>
      <c r="E2" s="73"/>
      <c r="F2" s="73"/>
      <c r="G2" s="73"/>
      <c r="H2" s="73"/>
      <c r="I2" s="73"/>
      <c r="J2" s="73"/>
      <c r="K2" s="74"/>
    </row>
    <row r="3" spans="1:15" ht="41.4" customHeight="1" x14ac:dyDescent="0.25">
      <c r="A3" s="21"/>
      <c r="B3" s="41" t="s">
        <v>26</v>
      </c>
      <c r="C3" s="75"/>
      <c r="D3" s="76"/>
      <c r="E3" s="76"/>
      <c r="F3" s="76"/>
      <c r="G3" s="76"/>
      <c r="H3" s="76"/>
      <c r="I3" s="76"/>
      <c r="J3" s="76"/>
      <c r="K3" s="77"/>
    </row>
    <row r="4" spans="1:15" ht="41.4" customHeight="1" thickBot="1" x14ac:dyDescent="0.3">
      <c r="A4" s="22"/>
      <c r="B4" s="42" t="s">
        <v>25</v>
      </c>
      <c r="C4" s="78"/>
      <c r="D4" s="79"/>
      <c r="E4" s="79"/>
      <c r="F4" s="79"/>
      <c r="G4" s="79"/>
      <c r="H4" s="79"/>
      <c r="I4" s="79"/>
      <c r="J4" s="79"/>
      <c r="K4" s="80"/>
    </row>
    <row r="5" spans="1:15" ht="33" customHeight="1" thickBot="1" x14ac:dyDescent="0.3">
      <c r="C5" s="5"/>
      <c r="K5" s="1"/>
    </row>
    <row r="6" spans="1:15" ht="17.399999999999999" x14ac:dyDescent="0.3">
      <c r="A6" s="81" t="s">
        <v>30</v>
      </c>
      <c r="B6" s="82"/>
      <c r="C6" s="83">
        <v>46146</v>
      </c>
      <c r="D6" s="84"/>
      <c r="E6" s="84"/>
      <c r="F6" s="84"/>
      <c r="G6" s="84"/>
      <c r="H6" s="85"/>
      <c r="K6" s="1"/>
    </row>
    <row r="7" spans="1:15" ht="17.399999999999999" x14ac:dyDescent="0.3">
      <c r="A7" s="67" t="s">
        <v>31</v>
      </c>
      <c r="B7" s="68"/>
      <c r="C7" s="86">
        <v>46148</v>
      </c>
      <c r="D7" s="70"/>
      <c r="E7" s="70"/>
      <c r="F7" s="70"/>
      <c r="G7" s="70"/>
      <c r="H7" s="71"/>
      <c r="K7" s="1"/>
    </row>
    <row r="8" spans="1:15" ht="20.399999999999999" customHeight="1" x14ac:dyDescent="0.3">
      <c r="A8" s="67" t="s">
        <v>27</v>
      </c>
      <c r="B8" s="68"/>
      <c r="C8" s="69" t="s">
        <v>29</v>
      </c>
      <c r="D8" s="70"/>
      <c r="E8" s="70"/>
      <c r="F8" s="70"/>
      <c r="G8" s="70"/>
      <c r="H8" s="71"/>
      <c r="K8" s="1"/>
    </row>
    <row r="9" spans="1:15" s="4" customFormat="1" ht="18.899999999999999" customHeight="1" thickBot="1" x14ac:dyDescent="0.35">
      <c r="A9" s="87" t="s">
        <v>8</v>
      </c>
      <c r="B9" s="88"/>
      <c r="C9" s="89" t="s">
        <v>17</v>
      </c>
      <c r="D9" s="89"/>
      <c r="E9" s="89"/>
      <c r="F9" s="89"/>
      <c r="G9" s="89"/>
      <c r="H9" s="90"/>
      <c r="I9" s="1"/>
      <c r="J9" s="1"/>
    </row>
    <row r="10" spans="1:15" s="4" customFormat="1" ht="20.399999999999999" customHeight="1" x14ac:dyDescent="0.3">
      <c r="A10" s="87" t="s">
        <v>15</v>
      </c>
      <c r="B10" s="88"/>
      <c r="C10" s="89" t="s">
        <v>34</v>
      </c>
      <c r="D10" s="89"/>
      <c r="E10" s="89"/>
      <c r="F10" s="89"/>
      <c r="G10" s="89"/>
      <c r="H10" s="90"/>
      <c r="I10" s="1"/>
      <c r="J10" s="43" t="s">
        <v>13</v>
      </c>
      <c r="K10" s="44" t="s">
        <v>11</v>
      </c>
    </row>
    <row r="11" spans="1:15" s="4" customFormat="1" ht="21" customHeight="1" thickBot="1" x14ac:dyDescent="0.35">
      <c r="A11" s="87" t="s">
        <v>9</v>
      </c>
      <c r="B11" s="88"/>
      <c r="C11" s="89" t="s">
        <v>35</v>
      </c>
      <c r="D11" s="89"/>
      <c r="E11" s="89"/>
      <c r="F11" s="89"/>
      <c r="G11" s="89"/>
      <c r="H11" s="90"/>
      <c r="I11" s="1"/>
      <c r="J11" s="6">
        <v>44.42</v>
      </c>
      <c r="K11" s="1">
        <v>53.3</v>
      </c>
      <c r="L11" s="1"/>
    </row>
    <row r="12" spans="1:15" s="4" customFormat="1" ht="21" customHeight="1" x14ac:dyDescent="0.3">
      <c r="A12" s="87" t="s">
        <v>16</v>
      </c>
      <c r="B12" s="88"/>
      <c r="C12" s="89" t="s">
        <v>36</v>
      </c>
      <c r="D12" s="89"/>
      <c r="E12" s="89"/>
      <c r="F12" s="89"/>
      <c r="G12" s="89"/>
      <c r="H12" s="90"/>
      <c r="I12" s="1"/>
      <c r="J12" s="1"/>
      <c r="K12" s="1"/>
      <c r="L12" s="1"/>
      <c r="M12" s="1"/>
      <c r="N12" s="1"/>
    </row>
    <row r="13" spans="1:15" s="4" customFormat="1" ht="21" customHeight="1" x14ac:dyDescent="0.3">
      <c r="A13" s="87" t="s">
        <v>10</v>
      </c>
      <c r="B13" s="88"/>
      <c r="C13" s="89" t="s">
        <v>32</v>
      </c>
      <c r="D13" s="89"/>
      <c r="E13" s="89"/>
      <c r="F13" s="89"/>
      <c r="G13" s="89"/>
      <c r="H13" s="90"/>
      <c r="I13" s="1"/>
      <c r="J13" s="1"/>
      <c r="K13" s="1"/>
      <c r="L13" s="1"/>
      <c r="M13" s="1"/>
      <c r="N13" s="1"/>
    </row>
    <row r="14" spans="1:15" s="4" customFormat="1" ht="18.899999999999999" customHeight="1" thickBot="1" x14ac:dyDescent="0.35">
      <c r="A14" s="109" t="s">
        <v>14</v>
      </c>
      <c r="B14" s="110"/>
      <c r="C14" s="111">
        <v>4</v>
      </c>
      <c r="D14" s="111"/>
      <c r="E14" s="111"/>
      <c r="F14" s="111"/>
      <c r="G14" s="111"/>
      <c r="H14" s="112"/>
      <c r="I14" s="1"/>
      <c r="J14" s="1"/>
      <c r="K14" s="1"/>
      <c r="L14" s="1"/>
      <c r="M14" s="1"/>
    </row>
    <row r="15" spans="1:15" ht="18.600000000000001" customHeight="1" thickBot="1" x14ac:dyDescent="0.3">
      <c r="K15" s="1"/>
    </row>
    <row r="16" spans="1:15" ht="27.6" customHeight="1" thickBot="1" x14ac:dyDescent="0.35">
      <c r="A16" s="25" t="s">
        <v>0</v>
      </c>
      <c r="B16" s="26" t="s">
        <v>3</v>
      </c>
      <c r="C16" s="26" t="s">
        <v>22</v>
      </c>
      <c r="D16" s="26" t="s">
        <v>4</v>
      </c>
      <c r="E16" s="26" t="s">
        <v>7</v>
      </c>
      <c r="F16" s="26" t="s">
        <v>28</v>
      </c>
      <c r="G16" s="26" t="s">
        <v>5</v>
      </c>
      <c r="H16" s="26" t="s">
        <v>1</v>
      </c>
      <c r="I16" s="27" t="s">
        <v>21</v>
      </c>
      <c r="J16" s="26" t="s">
        <v>23</v>
      </c>
      <c r="K16" s="26" t="s">
        <v>2</v>
      </c>
      <c r="L16" s="26" t="s">
        <v>6</v>
      </c>
      <c r="N16" s="1" t="s">
        <v>66</v>
      </c>
      <c r="O16" s="1" t="s">
        <v>67</v>
      </c>
    </row>
    <row r="17" spans="1:30" ht="91.2" customHeight="1" thickBot="1" x14ac:dyDescent="0.45">
      <c r="A17" s="28" t="s">
        <v>33</v>
      </c>
      <c r="B17" s="29" t="s">
        <v>37</v>
      </c>
      <c r="C17" s="47" t="s">
        <v>38</v>
      </c>
      <c r="D17" s="29"/>
      <c r="E17" s="30"/>
      <c r="F17" s="30"/>
      <c r="G17" s="30"/>
      <c r="H17" s="30">
        <v>1</v>
      </c>
      <c r="I17" s="31"/>
      <c r="J17" s="32"/>
      <c r="K17" s="33"/>
      <c r="L17" s="52">
        <v>1500000</v>
      </c>
      <c r="M17" s="53">
        <f>L17+540000</f>
        <v>2040000</v>
      </c>
      <c r="N17" s="54">
        <v>42026.26641651032</v>
      </c>
      <c r="O17" s="54">
        <f>M17/53.3</f>
        <v>38273.921200750468</v>
      </c>
      <c r="P17" s="53" t="s">
        <v>54</v>
      </c>
    </row>
    <row r="18" spans="1:30" ht="73.2" customHeight="1" thickBot="1" x14ac:dyDescent="0.7">
      <c r="A18" s="28" t="s">
        <v>33</v>
      </c>
      <c r="B18" s="13" t="s">
        <v>39</v>
      </c>
      <c r="C18" s="13" t="s">
        <v>40</v>
      </c>
      <c r="D18" s="14"/>
      <c r="E18" s="15"/>
      <c r="F18" s="15"/>
      <c r="G18" s="15"/>
      <c r="H18" s="15">
        <v>1</v>
      </c>
      <c r="I18" s="16"/>
      <c r="J18" s="17"/>
      <c r="K18" s="18"/>
      <c r="L18" s="52">
        <v>1500000</v>
      </c>
      <c r="M18" s="53">
        <f>L18+500000</f>
        <v>2000000</v>
      </c>
      <c r="N18" s="54">
        <v>41275.797373358349</v>
      </c>
      <c r="O18" s="54">
        <f>M18/53.3</f>
        <v>37523.452157598498</v>
      </c>
      <c r="P18" s="53" t="s">
        <v>54</v>
      </c>
      <c r="X18" s="56" t="s">
        <v>49</v>
      </c>
      <c r="Y18" s="57">
        <v>4750</v>
      </c>
      <c r="Z18" s="58" t="s">
        <v>48</v>
      </c>
      <c r="AB18" t="s">
        <v>53</v>
      </c>
    </row>
    <row r="19" spans="1:30" ht="93" customHeight="1" thickBot="1" x14ac:dyDescent="0.7">
      <c r="A19" s="28" t="s">
        <v>33</v>
      </c>
      <c r="B19" s="46" t="s">
        <v>41</v>
      </c>
      <c r="C19" s="48" t="s">
        <v>42</v>
      </c>
      <c r="D19" s="14"/>
      <c r="E19" s="15"/>
      <c r="F19" s="15"/>
      <c r="G19" s="15"/>
      <c r="H19" s="15">
        <v>1</v>
      </c>
      <c r="I19" s="16"/>
      <c r="J19" s="19"/>
      <c r="K19" s="19"/>
      <c r="L19" s="52">
        <v>700000</v>
      </c>
      <c r="M19" s="53">
        <f>L19+500000</f>
        <v>1200000</v>
      </c>
      <c r="N19" s="54">
        <v>26266.416510318952</v>
      </c>
      <c r="O19" s="54">
        <f>M19/53.3</f>
        <v>22514.0712945591</v>
      </c>
      <c r="P19" s="53" t="s">
        <v>55</v>
      </c>
      <c r="X19" s="59">
        <v>3040000</v>
      </c>
      <c r="Y19" s="60" t="s">
        <v>46</v>
      </c>
      <c r="Z19" s="61"/>
      <c r="AB19" s="56" t="s">
        <v>52</v>
      </c>
      <c r="AC19" s="57">
        <v>4750</v>
      </c>
      <c r="AD19" s="58" t="s">
        <v>48</v>
      </c>
    </row>
    <row r="20" spans="1:30" ht="124.8" customHeight="1" thickBot="1" x14ac:dyDescent="0.55000000000000004">
      <c r="A20" s="28" t="s">
        <v>33</v>
      </c>
      <c r="B20" s="34" t="s">
        <v>43</v>
      </c>
      <c r="C20" s="34" t="s">
        <v>44</v>
      </c>
      <c r="D20" s="35"/>
      <c r="E20" s="36"/>
      <c r="F20" s="36"/>
      <c r="G20" s="36"/>
      <c r="H20" s="36">
        <v>1</v>
      </c>
      <c r="I20" s="37"/>
      <c r="J20" s="38"/>
      <c r="K20" s="39"/>
      <c r="L20" s="52">
        <v>1500000</v>
      </c>
      <c r="M20" s="53">
        <f>L20+500000</f>
        <v>2000000</v>
      </c>
      <c r="N20" s="54">
        <v>41275.797373358349</v>
      </c>
      <c r="O20" s="54">
        <f>M20/53.3</f>
        <v>37523.452157598498</v>
      </c>
      <c r="P20" s="53" t="s">
        <v>68</v>
      </c>
      <c r="X20" s="59">
        <f>X19/1.2</f>
        <v>2533333.3333333335</v>
      </c>
      <c r="Y20" s="60" t="s">
        <v>47</v>
      </c>
      <c r="Z20" s="61"/>
      <c r="AB20" s="59">
        <v>2204000</v>
      </c>
      <c r="AC20" s="60" t="s">
        <v>46</v>
      </c>
      <c r="AD20" s="61"/>
    </row>
    <row r="21" spans="1:30" ht="27.6" customHeight="1" thickBot="1" x14ac:dyDescent="0.55000000000000004">
      <c r="A21" s="7"/>
      <c r="B21" s="8"/>
      <c r="C21" s="7"/>
      <c r="D21" s="9"/>
      <c r="E21" s="9"/>
      <c r="F21" s="9"/>
      <c r="G21" s="9"/>
      <c r="H21" s="10"/>
      <c r="I21" s="8"/>
      <c r="J21" s="11"/>
      <c r="K21" s="12"/>
      <c r="L21" s="12"/>
      <c r="X21" s="62"/>
      <c r="Z21" s="61"/>
      <c r="AB21" s="59">
        <f>AB20/1.2</f>
        <v>1836666.6666666667</v>
      </c>
      <c r="AC21" s="60" t="s">
        <v>47</v>
      </c>
      <c r="AD21" s="61"/>
    </row>
    <row r="22" spans="1:30" ht="27.6" customHeight="1" thickBot="1" x14ac:dyDescent="0.5">
      <c r="A22" s="7"/>
      <c r="B22" s="8"/>
      <c r="C22" s="7"/>
      <c r="D22" s="9"/>
      <c r="E22" s="9"/>
      <c r="F22" s="9"/>
      <c r="G22" s="9"/>
      <c r="H22" s="10"/>
      <c r="I22" s="8"/>
      <c r="J22" s="11"/>
      <c r="K22" s="23" t="s">
        <v>12</v>
      </c>
      <c r="L22" s="24">
        <f>SUM(L17:L20)</f>
        <v>5200000</v>
      </c>
      <c r="X22" s="63">
        <f>X20/53.3</f>
        <v>47529.706066291437</v>
      </c>
      <c r="Y22" s="64"/>
      <c r="Z22" s="65"/>
      <c r="AB22" s="62"/>
      <c r="AD22" s="61"/>
    </row>
    <row r="23" spans="1:30" ht="27.6" customHeight="1" thickBot="1" x14ac:dyDescent="0.5">
      <c r="A23" s="7"/>
      <c r="B23" s="8"/>
      <c r="C23" s="7"/>
      <c r="D23" s="9"/>
      <c r="E23" s="9"/>
      <c r="F23" s="9"/>
      <c r="G23" s="9"/>
      <c r="H23" s="10"/>
      <c r="I23" s="8"/>
      <c r="J23" s="11"/>
      <c r="K23" s="23" t="s">
        <v>11</v>
      </c>
      <c r="L23" s="49">
        <f>L22/K11</f>
        <v>97560.975609756104</v>
      </c>
      <c r="AB23" s="63">
        <f>AB21/53.3</f>
        <v>34459.036898061291</v>
      </c>
      <c r="AC23" s="64"/>
      <c r="AD23" s="65"/>
    </row>
    <row r="24" spans="1:30" ht="20.399999999999999" customHeight="1" thickBo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L24" s="2"/>
    </row>
    <row r="25" spans="1:30" ht="17.25" customHeight="1" x14ac:dyDescent="0.25">
      <c r="A25" s="91" t="s">
        <v>18</v>
      </c>
      <c r="B25" s="94" t="s">
        <v>45</v>
      </c>
      <c r="C25" s="94"/>
      <c r="D25" s="94"/>
      <c r="E25" s="94"/>
      <c r="F25" s="94"/>
      <c r="G25" s="94"/>
      <c r="H25" s="94"/>
      <c r="I25" s="94"/>
      <c r="J25" s="95"/>
      <c r="Y25" s="113"/>
    </row>
    <row r="26" spans="1:30" x14ac:dyDescent="0.25">
      <c r="A26" s="92"/>
      <c r="B26" s="96"/>
      <c r="C26" s="96"/>
      <c r="D26" s="96"/>
      <c r="E26" s="96"/>
      <c r="F26" s="96"/>
      <c r="G26" s="96"/>
      <c r="H26" s="96"/>
      <c r="I26" s="96"/>
      <c r="J26" s="97"/>
    </row>
    <row r="27" spans="1:30" x14ac:dyDescent="0.25">
      <c r="A27" s="92"/>
      <c r="B27" s="96"/>
      <c r="C27" s="96"/>
      <c r="D27" s="96"/>
      <c r="E27" s="96"/>
      <c r="F27" s="96"/>
      <c r="G27" s="96"/>
      <c r="H27" s="96"/>
      <c r="I27" s="96"/>
      <c r="J27" s="97"/>
    </row>
    <row r="28" spans="1:30" s="3" customFormat="1" ht="51" customHeight="1" x14ac:dyDescent="0.65">
      <c r="A28" s="92"/>
      <c r="B28" s="96"/>
      <c r="C28" s="96"/>
      <c r="D28" s="96"/>
      <c r="E28" s="96"/>
      <c r="F28" s="96"/>
      <c r="G28" s="96"/>
      <c r="H28" s="96"/>
      <c r="I28" s="96"/>
      <c r="J28" s="97"/>
      <c r="L28" s="1"/>
      <c r="M28" s="1"/>
      <c r="N28" s="1"/>
      <c r="Q28" s="55" t="s">
        <v>50</v>
      </c>
      <c r="R28" s="55">
        <v>4100</v>
      </c>
      <c r="S28" s="66" t="s">
        <v>51</v>
      </c>
    </row>
    <row r="29" spans="1:30" s="3" customFormat="1" ht="14.4" thickBot="1" x14ac:dyDescent="0.3">
      <c r="A29" s="92"/>
      <c r="B29" s="96"/>
      <c r="C29" s="96"/>
      <c r="D29" s="96"/>
      <c r="E29" s="96"/>
      <c r="F29" s="96"/>
      <c r="G29" s="96"/>
      <c r="H29" s="96"/>
      <c r="I29" s="96"/>
      <c r="J29" s="97"/>
      <c r="L29" s="1"/>
      <c r="M29" s="1"/>
      <c r="N29" s="1"/>
    </row>
    <row r="30" spans="1:30" s="3" customFormat="1" ht="34.200000000000003" thickBot="1" x14ac:dyDescent="0.7">
      <c r="A30" s="93"/>
      <c r="B30" s="98"/>
      <c r="C30" s="98"/>
      <c r="D30" s="98"/>
      <c r="E30" s="98"/>
      <c r="F30" s="98"/>
      <c r="G30" s="98"/>
      <c r="H30" s="98"/>
      <c r="I30" s="98"/>
      <c r="J30" s="99"/>
      <c r="L30" s="1"/>
      <c r="M30" s="1"/>
      <c r="N30" s="1"/>
      <c r="Q30" s="50">
        <v>2450000</v>
      </c>
      <c r="AB30" s="56" t="s">
        <v>56</v>
      </c>
      <c r="AC30" s="57">
        <v>4750</v>
      </c>
      <c r="AD30" s="58" t="s">
        <v>48</v>
      </c>
    </row>
    <row r="31" spans="1:30" s="3" customFormat="1" ht="31.2" thickBot="1" x14ac:dyDescent="0.55000000000000004">
      <c r="A31" s="45"/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  <c r="Q31" s="50">
        <f>Q30/1.2</f>
        <v>2041666.6666666667</v>
      </c>
      <c r="AB31" s="59">
        <v>1673000</v>
      </c>
      <c r="AC31" s="60" t="s">
        <v>46</v>
      </c>
      <c r="AD31" s="61"/>
    </row>
    <row r="32" spans="1:30" s="3" customFormat="1" ht="30" customHeight="1" x14ac:dyDescent="0.5">
      <c r="A32" s="100" t="s">
        <v>19</v>
      </c>
      <c r="B32" s="103" t="s">
        <v>20</v>
      </c>
      <c r="C32" s="103"/>
      <c r="D32" s="103"/>
      <c r="E32" s="103"/>
      <c r="F32" s="103"/>
      <c r="G32" s="103"/>
      <c r="H32" s="103"/>
      <c r="I32" s="103"/>
      <c r="J32" s="104"/>
      <c r="L32" s="1"/>
      <c r="M32" s="1"/>
      <c r="N32" s="1"/>
      <c r="AB32" s="59">
        <f>AB31/1.2</f>
        <v>1394166.6666666667</v>
      </c>
      <c r="AC32" s="60" t="s">
        <v>47</v>
      </c>
      <c r="AD32" s="61"/>
    </row>
    <row r="33" spans="1:30" s="3" customFormat="1" ht="59.4" customHeight="1" x14ac:dyDescent="0.45">
      <c r="A33" s="101"/>
      <c r="B33" s="105"/>
      <c r="C33" s="105"/>
      <c r="D33" s="105"/>
      <c r="E33" s="105"/>
      <c r="F33" s="105"/>
      <c r="G33" s="105"/>
      <c r="H33" s="105"/>
      <c r="I33" s="105"/>
      <c r="J33" s="106"/>
      <c r="L33" s="1"/>
      <c r="M33" s="1"/>
      <c r="N33" s="1"/>
      <c r="Q33" s="51">
        <f>Q31/K11</f>
        <v>38305.190744215135</v>
      </c>
      <c r="AB33" s="62"/>
      <c r="AC33" s="1"/>
      <c r="AD33" s="61"/>
    </row>
    <row r="34" spans="1:30" s="3" customFormat="1" ht="48" customHeight="1" thickBot="1" x14ac:dyDescent="0.5">
      <c r="A34" s="101"/>
      <c r="B34" s="105"/>
      <c r="C34" s="105"/>
      <c r="D34" s="105"/>
      <c r="E34" s="105"/>
      <c r="F34" s="105"/>
      <c r="G34" s="105"/>
      <c r="H34" s="105"/>
      <c r="I34" s="105"/>
      <c r="J34" s="106"/>
      <c r="L34" s="1"/>
      <c r="M34" s="1"/>
      <c r="N34" s="1"/>
      <c r="AB34" s="63">
        <f>AB32/53.3</f>
        <v>26156.973108192622</v>
      </c>
      <c r="AC34" s="64"/>
      <c r="AD34" s="65"/>
    </row>
    <row r="35" spans="1:30" s="3" customFormat="1" ht="48" customHeight="1" x14ac:dyDescent="0.25">
      <c r="A35" s="101"/>
      <c r="B35" s="105"/>
      <c r="C35" s="105"/>
      <c r="D35" s="105"/>
      <c r="E35" s="105"/>
      <c r="F35" s="105"/>
      <c r="G35" s="105"/>
      <c r="H35" s="105"/>
      <c r="I35" s="105"/>
      <c r="J35" s="106"/>
      <c r="L35" s="1"/>
      <c r="M35" s="1"/>
      <c r="N35" s="1"/>
    </row>
    <row r="36" spans="1:30" s="3" customFormat="1" ht="48" customHeight="1" x14ac:dyDescent="0.25">
      <c r="A36" s="101"/>
      <c r="B36" s="105"/>
      <c r="C36" s="105"/>
      <c r="D36" s="105"/>
      <c r="E36" s="105"/>
      <c r="F36" s="105"/>
      <c r="G36" s="105"/>
      <c r="H36" s="105"/>
      <c r="I36" s="105"/>
      <c r="J36" s="106"/>
      <c r="L36" s="1"/>
      <c r="M36" s="1"/>
      <c r="N36" s="1"/>
    </row>
    <row r="37" spans="1:30" s="3" customFormat="1" ht="48" customHeight="1" x14ac:dyDescent="0.25">
      <c r="A37" s="101"/>
      <c r="B37" s="105"/>
      <c r="C37" s="105"/>
      <c r="D37" s="105"/>
      <c r="E37" s="105"/>
      <c r="F37" s="105"/>
      <c r="G37" s="105"/>
      <c r="H37" s="105"/>
      <c r="I37" s="105"/>
      <c r="J37" s="106"/>
      <c r="L37" s="1"/>
      <c r="M37" s="1"/>
      <c r="N37" s="1"/>
    </row>
    <row r="38" spans="1:30" s="3" customFormat="1" ht="13.8" customHeight="1" x14ac:dyDescent="0.25">
      <c r="A38" s="101"/>
      <c r="B38" s="105"/>
      <c r="C38" s="105"/>
      <c r="D38" s="105"/>
      <c r="E38" s="105"/>
      <c r="F38" s="105"/>
      <c r="G38" s="105"/>
      <c r="H38" s="105"/>
      <c r="I38" s="105"/>
      <c r="J38" s="106"/>
      <c r="L38" s="1"/>
      <c r="M38" s="1"/>
      <c r="N38" s="1"/>
    </row>
    <row r="39" spans="1:30" s="3" customFormat="1" ht="14.4" customHeight="1" x14ac:dyDescent="0.25">
      <c r="A39" s="101"/>
      <c r="B39" s="105"/>
      <c r="C39" s="105"/>
      <c r="D39" s="105"/>
      <c r="E39" s="105"/>
      <c r="F39" s="105"/>
      <c r="G39" s="105"/>
      <c r="H39" s="105"/>
      <c r="I39" s="105"/>
      <c r="J39" s="106"/>
      <c r="L39" s="1"/>
      <c r="M39" s="1"/>
      <c r="N39" s="1"/>
    </row>
    <row r="40" spans="1:30" s="3" customFormat="1" ht="14.4" customHeight="1" x14ac:dyDescent="0.25">
      <c r="A40" s="101"/>
      <c r="B40" s="105"/>
      <c r="C40" s="105"/>
      <c r="D40" s="105"/>
      <c r="E40" s="105"/>
      <c r="F40" s="105"/>
      <c r="G40" s="105"/>
      <c r="H40" s="105"/>
      <c r="I40" s="105"/>
      <c r="J40" s="106"/>
      <c r="L40" s="1"/>
      <c r="M40" s="1"/>
      <c r="N40" s="1"/>
    </row>
    <row r="41" spans="1:30" s="3" customFormat="1" ht="14.4" customHeight="1" thickBot="1" x14ac:dyDescent="0.3">
      <c r="A41" s="102"/>
      <c r="B41" s="107"/>
      <c r="C41" s="107"/>
      <c r="D41" s="107"/>
      <c r="E41" s="107"/>
      <c r="F41" s="107"/>
      <c r="G41" s="107"/>
      <c r="H41" s="107"/>
      <c r="I41" s="107"/>
      <c r="J41" s="108"/>
      <c r="L41" s="1"/>
      <c r="M41" s="1"/>
      <c r="N41" s="1"/>
    </row>
  </sheetData>
  <dataConsolidate/>
  <mergeCells count="23">
    <mergeCell ref="A25:A30"/>
    <mergeCell ref="B25:J30"/>
    <mergeCell ref="A32:A41"/>
    <mergeCell ref="B32:J41"/>
    <mergeCell ref="A12:B12"/>
    <mergeCell ref="C12:H12"/>
    <mergeCell ref="A13:B13"/>
    <mergeCell ref="C13:H13"/>
    <mergeCell ref="A14:B14"/>
    <mergeCell ref="C14:H14"/>
    <mergeCell ref="A9:B9"/>
    <mergeCell ref="C9:H9"/>
    <mergeCell ref="A10:B10"/>
    <mergeCell ref="C10:H10"/>
    <mergeCell ref="A11:B11"/>
    <mergeCell ref="C11:H11"/>
    <mergeCell ref="A8:B8"/>
    <mergeCell ref="C8:H8"/>
    <mergeCell ref="C2:K4"/>
    <mergeCell ref="A6:B6"/>
    <mergeCell ref="C6:H6"/>
    <mergeCell ref="A7:B7"/>
    <mergeCell ref="C7:H7"/>
  </mergeCells>
  <dataValidations disablePrompts="1" count="4">
    <dataValidation type="list" allowBlank="1" showInputMessage="1" showErrorMessage="1" sqref="C8:H8" xr:uid="{3BBBB3DB-3A62-472A-8B13-5237E9E68934}">
      <formula1>"Teklif,Yaklaşık Bedel"</formula1>
    </dataValidation>
    <dataValidation type="custom" allowBlank="1" showInputMessage="1" showErrorMessage="1" sqref="J10:J11 K10" xr:uid="{88E9C1A8-B7A6-40AD-B661-1FA14636EDDC}">
      <formula1>J10(TRUE,FALSE)</formula1>
    </dataValidation>
    <dataValidation type="list" allowBlank="1" showInputMessage="1" showErrorMessage="1" sqref="C10:H10" xr:uid="{5CAB6F4C-12DD-4C6D-987D-425607512B6A}">
      <formula1>"Yurtiçi,Yurtdışı"</formula1>
    </dataValidation>
    <dataValidation type="list" allowBlank="1" showInputMessage="1" showErrorMessage="1" sqref="C9:H9" xr:uid="{50EA897E-BFE0-4D71-B74D-4773F33E1EB1}">
      <formula1>"Retech,SVC"</formula1>
    </dataValidation>
  </dataValidations>
  <pageMargins left="0.7" right="0.7" top="0.75" bottom="0.75" header="0.3" footer="0.3"/>
  <pageSetup paperSize="9" scale="3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833A1-EF31-4598-8AA3-EDDCF803CD95}">
  <dimension ref="A1:E12"/>
  <sheetViews>
    <sheetView tabSelected="1" zoomScale="160" zoomScaleNormal="160" workbookViewId="0">
      <selection activeCell="E5" sqref="E5"/>
    </sheetView>
  </sheetViews>
  <sheetFormatPr defaultRowHeight="14.4" x14ac:dyDescent="0.3"/>
  <cols>
    <col min="1" max="1" width="20.21875" bestFit="1" customWidth="1"/>
    <col min="2" max="2" width="17.5546875" customWidth="1"/>
    <col min="3" max="3" width="16.44140625" customWidth="1"/>
    <col min="4" max="4" width="10.5546875" customWidth="1"/>
    <col min="5" max="5" width="43" customWidth="1"/>
  </cols>
  <sheetData>
    <row r="1" spans="1:5" ht="28.8" x14ac:dyDescent="0.3">
      <c r="A1" s="115"/>
      <c r="B1" s="116" t="s">
        <v>60</v>
      </c>
      <c r="C1" s="116" t="s">
        <v>61</v>
      </c>
    </row>
    <row r="2" spans="1:5" x14ac:dyDescent="0.3">
      <c r="A2" s="115" t="s">
        <v>57</v>
      </c>
      <c r="B2" s="117">
        <v>26150</v>
      </c>
      <c r="C2" s="117">
        <v>38300</v>
      </c>
    </row>
    <row r="3" spans="1:5" ht="12" customHeight="1" x14ac:dyDescent="0.3">
      <c r="A3" s="115" t="s">
        <v>58</v>
      </c>
      <c r="B3" s="117">
        <v>34450</v>
      </c>
      <c r="C3" s="115"/>
    </row>
    <row r="4" spans="1:5" ht="12.6" customHeight="1" x14ac:dyDescent="0.3">
      <c r="A4" s="115" t="s">
        <v>59</v>
      </c>
      <c r="B4" s="115"/>
      <c r="C4" s="117">
        <v>48000</v>
      </c>
    </row>
    <row r="6" spans="1:5" ht="15" thickBot="1" x14ac:dyDescent="0.35"/>
    <row r="7" spans="1:5" ht="28.8" x14ac:dyDescent="0.3">
      <c r="A7" s="127"/>
      <c r="B7" s="122" t="s">
        <v>75</v>
      </c>
      <c r="C7" s="122" t="s">
        <v>74</v>
      </c>
      <c r="D7" s="123" t="s">
        <v>71</v>
      </c>
      <c r="E7" s="124" t="s">
        <v>69</v>
      </c>
    </row>
    <row r="8" spans="1:5" x14ac:dyDescent="0.3">
      <c r="A8" s="118" t="s">
        <v>62</v>
      </c>
      <c r="B8" s="114">
        <v>41600</v>
      </c>
      <c r="C8" s="117">
        <v>37500</v>
      </c>
      <c r="D8" s="114">
        <v>34450</v>
      </c>
      <c r="E8" s="125" t="s">
        <v>72</v>
      </c>
    </row>
    <row r="9" spans="1:5" x14ac:dyDescent="0.3">
      <c r="A9" s="118" t="s">
        <v>63</v>
      </c>
      <c r="B9" s="114">
        <v>42050</v>
      </c>
      <c r="C9" s="117">
        <v>38270</v>
      </c>
      <c r="D9" s="114">
        <v>34450</v>
      </c>
      <c r="E9" s="125" t="s">
        <v>72</v>
      </c>
    </row>
    <row r="10" spans="1:5" x14ac:dyDescent="0.3">
      <c r="A10" s="118" t="s">
        <v>64</v>
      </c>
      <c r="B10" s="114">
        <v>26600</v>
      </c>
      <c r="C10" s="117">
        <v>22500</v>
      </c>
      <c r="D10" s="117">
        <v>26150</v>
      </c>
      <c r="E10" s="125" t="s">
        <v>73</v>
      </c>
    </row>
    <row r="11" spans="1:5" ht="15" thickBot="1" x14ac:dyDescent="0.35">
      <c r="A11" s="119" t="s">
        <v>65</v>
      </c>
      <c r="B11" s="121">
        <v>41275</v>
      </c>
      <c r="C11" s="120">
        <v>37200</v>
      </c>
      <c r="D11" s="120">
        <v>48000</v>
      </c>
      <c r="E11" s="126" t="s">
        <v>70</v>
      </c>
    </row>
    <row r="12" spans="1:5" x14ac:dyDescent="0.3">
      <c r="A12" s="128"/>
      <c r="B12" s="128"/>
      <c r="C12" s="128"/>
      <c r="D12" s="128"/>
      <c r="E12" s="128"/>
    </row>
  </sheetData>
  <pageMargins left="0.7" right="0.7" top="0.75" bottom="0.75" header="0.3" footer="0.3"/>
  <pageSetup paperSize="9" orientation="landscape" copies="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Dalia Massoud, Mısır</vt:lpstr>
      <vt:lpstr>ARAÇ FİYATLARI</vt:lpstr>
      <vt:lpstr>'ARAÇ FİYATLARI'!Yazdırma_Alanı</vt:lpstr>
      <vt:lpstr>'Dalia Massoud, Mısır'!Yazdırma_Alanı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Ertuğral</dc:creator>
  <cp:lastModifiedBy>Yeliz Cosar</cp:lastModifiedBy>
  <cp:lastPrinted>2026-05-14T13:05:15Z</cp:lastPrinted>
  <dcterms:created xsi:type="dcterms:W3CDTF">2026-03-25T06:09:07Z</dcterms:created>
  <dcterms:modified xsi:type="dcterms:W3CDTF">2026-05-14T13:05:18Z</dcterms:modified>
</cp:coreProperties>
</file>