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liz.cosar\Desktop\YELİZ\TEKLİF\YDIŞI\TEKLİF007-TEKERLEKLİ SANDALYE UYGUN ARAÇ\"/>
    </mc:Choice>
  </mc:AlternateContent>
  <xr:revisionPtr revIDLastSave="0" documentId="13_ncr:1_{A8C5C6FD-8D91-48C8-B56B-E58A4C60AEB2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Siby Manu, UK" sheetId="9" r:id="rId1"/>
  </sheets>
  <definedNames>
    <definedName name="_xlnm.Print_Area" localSheetId="0">'Siby Manu, UK'!$A$1:$L$38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9" l="1"/>
  <c r="O19" i="9"/>
  <c r="O17" i="9"/>
  <c r="L19" i="9"/>
  <c r="L20" i="9" s="1"/>
</calcChain>
</file>

<file path=xl/sharedStrings.xml><?xml version="1.0" encoding="utf-8"?>
<sst xmlns="http://schemas.openxmlformats.org/spreadsheetml/2006/main" count="41" uniqueCount="40">
  <si>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</si>
  <si>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</si>
  <si>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</si>
  <si>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</si>
  <si>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</si>
  <si>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</si>
  <si>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</si>
  <si>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</si>
  <si>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</si>
  <si>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</si>
  <si>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</si>
  <si>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</si>
  <si>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</si>
  <si>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</si>
  <si>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</si>
  <si>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</si>
  <si>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KURUM / FİRMA</t>
  </si>
  <si>
    <t>Retech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</si>
  <si>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</si>
  <si>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</si>
  <si>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</si>
  <si>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</si>
  <si>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</si>
  <si>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</si>
  <si>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</si>
  <si>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</si>
  <si>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</si>
  <si>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</si>
  <si>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</si>
  <si>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Yaklaşık Bedel</t>
  </si>
  <si>
    <t>OLUŞTURULAN TARİH</t>
  </si>
  <si>
    <t>TEKLİF VERİLECEK TARİH</t>
  </si>
  <si>
    <t>SON KULLANICI</t>
  </si>
  <si>
    <t>-</t>
  </si>
  <si>
    <t>Genel</t>
  </si>
  <si>
    <t>Yurtdışı</t>
  </si>
  <si>
    <t>SVC</t>
  </si>
  <si>
    <t>Engelli Aracı</t>
  </si>
  <si>
    <t>Altı kişilik ve tekerlekli sandalye erişimine uygun bir araca ihtiyacı var.</t>
  </si>
  <si>
    <t>Özel bir not veya talep belitrilmedi. En uygun ve gerekli donanıma sahip araç sunulmalıdır.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</si>
</sst>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7" fillId="4" borderId="17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 wrapText="1"/>
    </xf>
    <xf numFmtId="164" fontId="7" fillId="3" borderId="18" xfId="2" applyNumberFormat="1" applyFont="1" applyFill="1" applyBorder="1" applyAlignment="1">
      <alignment horizontal="center" vertical="center"/>
    </xf>
    <xf numFmtId="165" fontId="7" fillId="3" borderId="19" xfId="2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49" fontId="7" fillId="4" borderId="18" xfId="0" applyNumberFormat="1" applyFont="1" applyFill="1" applyBorder="1" applyAlignment="1">
      <alignment vertical="center" wrapText="1"/>
    </xf>
    <xf numFmtId="164" fontId="3" fillId="0" borderId="0" xfId="0" applyNumberFormat="1" applyFont="1"/>
    <xf numFmtId="165" fontId="3" fillId="0" borderId="0" xfId="0" applyNumberFormat="1" applyFont="1"/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51FD4FC-4544-4A24-A9EA-8E1D4D6751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547466" y="304801"/>
          <a:ext cx="583415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80A7-0285-48A4-B26D-C4C7BA51793F}">
  <sheetPr>
    <pageSetUpPr fitToPage="1"/>
  </sheetPr>
  <dimension ref="A1:O38"/>
  <sheetViews>
    <sheetView tabSelected="1" topLeftCell="A5" zoomScale="85" zoomScaleNormal="85" workbookViewId="0">
      <selection activeCell="B22" sqref="B22:J27"/>
    </sheetView>
  </sheetViews>
  <sheetFormatPr defaultColWidth="9.109375" defaultRowHeight="13.8" x14ac:dyDescent="0.25"/>
  <cols>
    <col min="1" max="1" width="21.6640625" style="1" customWidth="1"/>
    <col min="2" max="2" width="33.77734375" style="1" customWidth="1"/>
    <col min="3" max="3" width="34" style="1" customWidth="1"/>
    <col min="4" max="4" width="23.77734375" style="1" customWidth="1"/>
    <col min="5" max="5" width="25.21875" style="1" customWidth="1"/>
    <col min="6" max="6" width="31.21875" style="1" bestFit="1" customWidth="1"/>
    <col min="7" max="7" width="20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18" style="1" customWidth="1"/>
    <col min="13" max="13" width="9.109375" style="1"/>
    <col min="14" max="15" width="15.88671875" style="1" bestFit="1" customWidth="1"/>
    <col min="16" max="16384" width="9.109375" style="1"/>
  </cols>
  <sheetData>
    <row r="1" spans="1:15" ht="12" customHeight="1" thickBot="1" x14ac:dyDescent="0.3"/>
    <row r="2" spans="1:15" ht="42.6" customHeight="1" x14ac:dyDescent="0.25">
      <c r="A2" s="14"/>
      <c r="B2" s="30" t="s">
        <v>24</v>
      </c>
      <c r="C2" s="44"/>
      <c r="D2" s="45"/>
      <c r="E2" s="45"/>
      <c r="F2" s="45"/>
      <c r="G2" s="45"/>
      <c r="H2" s="45"/>
      <c r="I2" s="45"/>
      <c r="J2" s="45"/>
      <c r="K2" s="46"/>
    </row>
    <row r="3" spans="1:15" ht="41.4" customHeight="1" x14ac:dyDescent="0.25">
      <c r="A3" s="15"/>
      <c r="B3" s="31" t="s">
        <v>26</v>
      </c>
      <c r="C3" s="47"/>
      <c r="D3" s="48"/>
      <c r="E3" s="48"/>
      <c r="F3" s="48"/>
      <c r="G3" s="48"/>
      <c r="H3" s="48"/>
      <c r="I3" s="48"/>
      <c r="J3" s="48"/>
      <c r="K3" s="49"/>
    </row>
    <row r="4" spans="1:15" ht="41.4" customHeight="1" thickBot="1" x14ac:dyDescent="0.3">
      <c r="A4" s="16"/>
      <c r="B4" s="32" t="s">
        <v>25</v>
      </c>
      <c r="C4" s="50"/>
      <c r="D4" s="51"/>
      <c r="E4" s="51"/>
      <c r="F4" s="51"/>
      <c r="G4" s="51"/>
      <c r="H4" s="51"/>
      <c r="I4" s="51"/>
      <c r="J4" s="51"/>
      <c r="K4" s="52"/>
    </row>
    <row r="5" spans="1:15" ht="33" customHeight="1" thickBot="1" x14ac:dyDescent="0.3">
      <c r="C5" s="5"/>
      <c r="K5" s="1"/>
    </row>
    <row r="6" spans="1:15" ht="17.399999999999999" x14ac:dyDescent="0.3">
      <c r="A6" s="53" t="s">
        <v>30</v>
      </c>
      <c r="B6" s="54"/>
      <c r="C6" s="55">
        <v>46146</v>
      </c>
      <c r="D6" s="56"/>
      <c r="E6" s="56"/>
      <c r="F6" s="56"/>
      <c r="G6" s="56"/>
      <c r="H6" s="57"/>
      <c r="K6" s="1"/>
    </row>
    <row r="7" spans="1:15" ht="17.399999999999999" x14ac:dyDescent="0.3">
      <c r="A7" s="39" t="s">
        <v>31</v>
      </c>
      <c r="B7" s="40"/>
      <c r="C7" s="58">
        <v>46148</v>
      </c>
      <c r="D7" s="42"/>
      <c r="E7" s="42"/>
      <c r="F7" s="42"/>
      <c r="G7" s="42"/>
      <c r="H7" s="43"/>
      <c r="K7" s="1"/>
    </row>
    <row r="8" spans="1:15" ht="20.399999999999999" customHeight="1" x14ac:dyDescent="0.3">
      <c r="A8" s="39" t="s">
        <v>27</v>
      </c>
      <c r="B8" s="40"/>
      <c r="C8" s="41" t="s">
        <v>29</v>
      </c>
      <c r="D8" s="42"/>
      <c r="E8" s="42"/>
      <c r="F8" s="42"/>
      <c r="G8" s="42"/>
      <c r="H8" s="43"/>
      <c r="K8" s="1"/>
    </row>
    <row r="9" spans="1:15" s="4" customFormat="1" ht="18.899999999999999" customHeight="1" thickBot="1" x14ac:dyDescent="0.35">
      <c r="A9" s="59" t="s">
        <v>8</v>
      </c>
      <c r="B9" s="60"/>
      <c r="C9" s="61" t="s">
        <v>17</v>
      </c>
      <c r="D9" s="61"/>
      <c r="E9" s="61"/>
      <c r="F9" s="61"/>
      <c r="G9" s="61"/>
      <c r="H9" s="62"/>
      <c r="I9" s="1"/>
      <c r="J9" s="1"/>
    </row>
    <row r="10" spans="1:15" s="4" customFormat="1" ht="20.399999999999999" customHeight="1" x14ac:dyDescent="0.3">
      <c r="A10" s="59" t="s">
        <v>15</v>
      </c>
      <c r="B10" s="60"/>
      <c r="C10" s="61" t="s">
        <v>35</v>
      </c>
      <c r="D10" s="61"/>
      <c r="E10" s="61"/>
      <c r="F10" s="61"/>
      <c r="G10" s="61"/>
      <c r="H10" s="62"/>
      <c r="I10" s="1"/>
      <c r="J10" s="33" t="s">
        <v>13</v>
      </c>
      <c r="K10" s="34" t="s">
        <v>11</v>
      </c>
    </row>
    <row r="11" spans="1:15" s="4" customFormat="1" ht="21" customHeight="1" thickBot="1" x14ac:dyDescent="0.35">
      <c r="A11" s="59" t="s">
        <v>9</v>
      </c>
      <c r="B11" s="60"/>
      <c r="C11" s="61" t="s">
        <v>36</v>
      </c>
      <c r="D11" s="61"/>
      <c r="E11" s="61"/>
      <c r="F11" s="61"/>
      <c r="G11" s="61"/>
      <c r="H11" s="62"/>
      <c r="I11" s="1"/>
      <c r="J11" s="6">
        <v>44.42</v>
      </c>
      <c r="K11" s="7">
        <v>51.531700000000001</v>
      </c>
      <c r="L11" s="1"/>
      <c r="M11" s="1"/>
    </row>
    <row r="12" spans="1:15" s="4" customFormat="1" ht="21" customHeight="1" x14ac:dyDescent="0.3">
      <c r="A12" s="59" t="s">
        <v>16</v>
      </c>
      <c r="B12" s="60"/>
      <c r="C12" s="61" t="s">
        <v>32</v>
      </c>
      <c r="D12" s="61"/>
      <c r="E12" s="61"/>
      <c r="F12" s="61"/>
      <c r="G12" s="61"/>
      <c r="H12" s="62"/>
      <c r="I12" s="1"/>
      <c r="J12" s="1"/>
      <c r="K12" s="1"/>
      <c r="L12" s="1"/>
      <c r="M12" s="1"/>
      <c r="N12" s="1"/>
    </row>
    <row r="13" spans="1:15" s="4" customFormat="1" ht="21" customHeight="1" x14ac:dyDescent="0.3">
      <c r="A13" s="59" t="s">
        <v>10</v>
      </c>
      <c r="B13" s="60"/>
      <c r="C13" s="61" t="s">
        <v>33</v>
      </c>
      <c r="D13" s="61"/>
      <c r="E13" s="61"/>
      <c r="F13" s="61"/>
      <c r="G13" s="61"/>
      <c r="H13" s="62"/>
      <c r="I13" s="1"/>
      <c r="J13" s="1"/>
      <c r="K13" s="1"/>
      <c r="L13" s="1"/>
      <c r="M13" s="1"/>
      <c r="N13" s="1"/>
    </row>
    <row r="14" spans="1:15" s="4" customFormat="1" ht="18.899999999999999" customHeight="1" thickBot="1" x14ac:dyDescent="0.35">
      <c r="A14" s="81" t="s">
        <v>14</v>
      </c>
      <c r="B14" s="82"/>
      <c r="C14" s="83">
        <v>1</v>
      </c>
      <c r="D14" s="83"/>
      <c r="E14" s="83"/>
      <c r="F14" s="83"/>
      <c r="G14" s="83"/>
      <c r="H14" s="84"/>
      <c r="I14" s="1"/>
      <c r="J14" s="1"/>
      <c r="K14" s="1"/>
      <c r="L14" s="1"/>
      <c r="M14" s="1"/>
    </row>
    <row r="15" spans="1:15" ht="18.600000000000001" customHeight="1" thickBot="1" x14ac:dyDescent="0.3">
      <c r="K15" s="1"/>
    </row>
    <row r="16" spans="1:15" ht="27.6" customHeight="1" thickBot="1" x14ac:dyDescent="0.35">
      <c r="A16" s="20" t="s">
        <v>0</v>
      </c>
      <c r="B16" s="21" t="s">
        <v>3</v>
      </c>
      <c r="C16" s="21" t="s">
        <v>22</v>
      </c>
      <c r="D16" s="21" t="s">
        <v>4</v>
      </c>
      <c r="E16" s="21" t="s">
        <v>7</v>
      </c>
      <c r="F16" s="21" t="s">
        <v>28</v>
      </c>
      <c r="G16" s="21" t="s">
        <v>5</v>
      </c>
      <c r="H16" s="21" t="s">
        <v>1</v>
      </c>
      <c r="I16" s="22" t="s">
        <v>21</v>
      </c>
      <c r="J16" s="21" t="s">
        <v>23</v>
      </c>
      <c r="K16" s="21" t="s">
        <v>2</v>
      </c>
      <c r="L16" s="21" t="s">
        <v>6</v>
      </c>
      <c r="N16" s="38">
        <v>4800000</v>
      </c>
      <c r="O16" s="38">
        <v>5300000</v>
      </c>
    </row>
    <row r="17" spans="1:15" ht="84" customHeight="1" x14ac:dyDescent="0.25">
      <c r="A17" s="23" t="s">
        <v>34</v>
      </c>
      <c r="B17" s="24" t="s">
        <v>37</v>
      </c>
      <c r="C17" s="36" t="s">
        <v>38</v>
      </c>
      <c r="D17" s="24"/>
      <c r="E17" s="25"/>
      <c r="F17" s="25"/>
      <c r="G17" s="25"/>
      <c r="H17" s="25">
        <v>1</v>
      </c>
      <c r="I17" s="26"/>
      <c r="J17" s="27"/>
      <c r="K17" s="28"/>
      <c r="L17" s="29"/>
      <c r="N17" s="37">
        <f>N16/53</f>
        <v>90566.037735849051</v>
      </c>
      <c r="O17" s="37">
        <f>O16/53</f>
        <v>100000</v>
      </c>
    </row>
    <row r="18" spans="1:15" ht="27.6" customHeight="1" thickBot="1" x14ac:dyDescent="0.3">
      <c r="A18" s="8"/>
      <c r="B18" s="9"/>
      <c r="C18" s="8"/>
      <c r="D18" s="10"/>
      <c r="E18" s="10"/>
      <c r="F18" s="10"/>
      <c r="G18" s="10"/>
      <c r="H18" s="11"/>
      <c r="I18" s="9"/>
      <c r="J18" s="12"/>
      <c r="K18" s="13"/>
      <c r="L18" s="13"/>
    </row>
    <row r="19" spans="1:15" ht="27.6" customHeight="1" thickBot="1" x14ac:dyDescent="0.3">
      <c r="A19" s="8"/>
      <c r="B19" s="9"/>
      <c r="C19" s="8"/>
      <c r="D19" s="10"/>
      <c r="E19" s="10"/>
      <c r="F19" s="10"/>
      <c r="G19" s="10"/>
      <c r="H19" s="11"/>
      <c r="I19" s="9"/>
      <c r="J19" s="12"/>
      <c r="K19" s="17" t="s">
        <v>12</v>
      </c>
      <c r="L19" s="18">
        <f>SUM(L17:L17)</f>
        <v>0</v>
      </c>
      <c r="O19" s="37">
        <f>O18/53</f>
        <v>0</v>
      </c>
    </row>
    <row r="20" spans="1:15" ht="27.6" customHeight="1" thickBot="1" x14ac:dyDescent="0.3">
      <c r="A20" s="8"/>
      <c r="B20" s="9"/>
      <c r="C20" s="8"/>
      <c r="D20" s="10"/>
      <c r="E20" s="10"/>
      <c r="F20" s="10"/>
      <c r="G20" s="10"/>
      <c r="H20" s="11"/>
      <c r="I20" s="9"/>
      <c r="J20" s="12"/>
      <c r="K20" s="17" t="s">
        <v>11</v>
      </c>
      <c r="L20" s="19">
        <f>L19/K11</f>
        <v>0</v>
      </c>
    </row>
    <row r="21" spans="1:15" ht="20.399999999999999" customHeight="1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</row>
    <row r="22" spans="1:15" ht="17.25" customHeight="1" x14ac:dyDescent="0.25">
      <c r="A22" s="63" t="s">
        <v>18</v>
      </c>
      <c r="B22" s="66" t="s">
        <v>39</v>
      </c>
      <c r="C22" s="66"/>
      <c r="D22" s="66"/>
      <c r="E22" s="66"/>
      <c r="F22" s="66"/>
      <c r="G22" s="66"/>
      <c r="H22" s="66"/>
      <c r="I22" s="66"/>
      <c r="J22" s="67"/>
    </row>
    <row r="23" spans="1:15" x14ac:dyDescent="0.25">
      <c r="A23" s="64"/>
      <c r="B23" s="68"/>
      <c r="C23" s="68"/>
      <c r="D23" s="68"/>
      <c r="E23" s="68"/>
      <c r="F23" s="68"/>
      <c r="G23" s="68"/>
      <c r="H23" s="68"/>
      <c r="I23" s="68"/>
      <c r="J23" s="69"/>
    </row>
    <row r="24" spans="1:15" x14ac:dyDescent="0.25">
      <c r="A24" s="64"/>
      <c r="B24" s="68"/>
      <c r="C24" s="68"/>
      <c r="D24" s="68"/>
      <c r="E24" s="68"/>
      <c r="F24" s="68"/>
      <c r="G24" s="68"/>
      <c r="H24" s="68"/>
      <c r="I24" s="68"/>
      <c r="J24" s="69"/>
    </row>
    <row r="25" spans="1:15" s="3" customFormat="1" ht="51" customHeight="1" x14ac:dyDescent="0.25">
      <c r="A25" s="64"/>
      <c r="B25" s="68"/>
      <c r="C25" s="68"/>
      <c r="D25" s="68"/>
      <c r="E25" s="68"/>
      <c r="F25" s="68"/>
      <c r="G25" s="68"/>
      <c r="H25" s="68"/>
      <c r="I25" s="68"/>
      <c r="J25" s="69"/>
      <c r="L25" s="1"/>
      <c r="M25" s="1"/>
      <c r="N25" s="1"/>
    </row>
    <row r="26" spans="1:15" s="3" customFormat="1" x14ac:dyDescent="0.25">
      <c r="A26" s="64"/>
      <c r="B26" s="68"/>
      <c r="C26" s="68"/>
      <c r="D26" s="68"/>
      <c r="E26" s="68"/>
      <c r="F26" s="68"/>
      <c r="G26" s="68"/>
      <c r="H26" s="68"/>
      <c r="I26" s="68"/>
      <c r="J26" s="69"/>
      <c r="L26" s="1"/>
      <c r="M26" s="1"/>
      <c r="N26" s="1"/>
    </row>
    <row r="27" spans="1:15" s="3" customFormat="1" ht="14.4" thickBot="1" x14ac:dyDescent="0.3">
      <c r="A27" s="65"/>
      <c r="B27" s="70"/>
      <c r="C27" s="70"/>
      <c r="D27" s="70"/>
      <c r="E27" s="70"/>
      <c r="F27" s="70"/>
      <c r="G27" s="70"/>
      <c r="H27" s="70"/>
      <c r="I27" s="70"/>
      <c r="J27" s="71"/>
      <c r="L27" s="1"/>
      <c r="M27" s="1"/>
      <c r="N27" s="1"/>
    </row>
    <row r="28" spans="1:15" s="3" customFormat="1" ht="21.6" thickBot="1" x14ac:dyDescent="0.4">
      <c r="A28" s="35"/>
      <c r="B28" s="1"/>
      <c r="C28" s="1"/>
      <c r="D28" s="1"/>
      <c r="E28" s="1"/>
      <c r="F28" s="1"/>
      <c r="G28" s="1"/>
      <c r="H28" s="1"/>
      <c r="I28" s="1"/>
      <c r="J28" s="1"/>
      <c r="L28" s="1"/>
      <c r="M28" s="1"/>
      <c r="N28" s="1"/>
    </row>
    <row r="29" spans="1:15" s="3" customFormat="1" ht="13.8" customHeight="1" x14ac:dyDescent="0.25">
      <c r="A29" s="72" t="s">
        <v>19</v>
      </c>
      <c r="B29" s="75" t="s">
        <v>20</v>
      </c>
      <c r="C29" s="75"/>
      <c r="D29" s="75"/>
      <c r="E29" s="75"/>
      <c r="F29" s="75"/>
      <c r="G29" s="75"/>
      <c r="H29" s="75"/>
      <c r="I29" s="75"/>
      <c r="J29" s="76"/>
      <c r="L29" s="1"/>
      <c r="M29" s="1"/>
      <c r="N29" s="1"/>
    </row>
    <row r="30" spans="1:15" s="3" customFormat="1" ht="13.8" customHeight="1" x14ac:dyDescent="0.25">
      <c r="A30" s="73"/>
      <c r="B30" s="77"/>
      <c r="C30" s="77"/>
      <c r="D30" s="77"/>
      <c r="E30" s="77"/>
      <c r="F30" s="77"/>
      <c r="G30" s="77"/>
      <c r="H30" s="77"/>
      <c r="I30" s="77"/>
      <c r="J30" s="78"/>
      <c r="L30" s="1"/>
      <c r="M30" s="1"/>
      <c r="N30" s="1"/>
    </row>
    <row r="31" spans="1:15" s="3" customFormat="1" ht="13.8" customHeight="1" x14ac:dyDescent="0.25">
      <c r="A31" s="73"/>
      <c r="B31" s="77"/>
      <c r="C31" s="77"/>
      <c r="D31" s="77"/>
      <c r="E31" s="77"/>
      <c r="F31" s="77"/>
      <c r="G31" s="77"/>
      <c r="H31" s="77"/>
      <c r="I31" s="77"/>
      <c r="J31" s="78"/>
      <c r="L31" s="1"/>
      <c r="M31" s="1"/>
      <c r="N31" s="1"/>
    </row>
    <row r="32" spans="1:15" s="3" customFormat="1" ht="13.8" customHeight="1" x14ac:dyDescent="0.25">
      <c r="A32" s="73"/>
      <c r="B32" s="77"/>
      <c r="C32" s="77"/>
      <c r="D32" s="77"/>
      <c r="E32" s="77"/>
      <c r="F32" s="77"/>
      <c r="G32" s="77"/>
      <c r="H32" s="77"/>
      <c r="I32" s="77"/>
      <c r="J32" s="78"/>
      <c r="L32" s="1"/>
      <c r="M32" s="1"/>
      <c r="N32" s="1"/>
    </row>
    <row r="33" spans="1:14" s="3" customFormat="1" ht="13.8" customHeight="1" x14ac:dyDescent="0.25">
      <c r="A33" s="73"/>
      <c r="B33" s="77"/>
      <c r="C33" s="77"/>
      <c r="D33" s="77"/>
      <c r="E33" s="77"/>
      <c r="F33" s="77"/>
      <c r="G33" s="77"/>
      <c r="H33" s="77"/>
      <c r="I33" s="77"/>
      <c r="J33" s="78"/>
      <c r="L33" s="1"/>
      <c r="M33" s="1"/>
      <c r="N33" s="1"/>
    </row>
    <row r="34" spans="1:14" s="3" customFormat="1" ht="13.8" customHeight="1" x14ac:dyDescent="0.25">
      <c r="A34" s="73"/>
      <c r="B34" s="77"/>
      <c r="C34" s="77"/>
      <c r="D34" s="77"/>
      <c r="E34" s="77"/>
      <c r="F34" s="77"/>
      <c r="G34" s="77"/>
      <c r="H34" s="77"/>
      <c r="I34" s="77"/>
      <c r="J34" s="78"/>
      <c r="L34" s="1"/>
      <c r="M34" s="1"/>
      <c r="N34" s="1"/>
    </row>
    <row r="35" spans="1:14" s="3" customFormat="1" ht="13.8" customHeight="1" x14ac:dyDescent="0.25">
      <c r="A35" s="73"/>
      <c r="B35" s="77"/>
      <c r="C35" s="77"/>
      <c r="D35" s="77"/>
      <c r="E35" s="77"/>
      <c r="F35" s="77"/>
      <c r="G35" s="77"/>
      <c r="H35" s="77"/>
      <c r="I35" s="77"/>
      <c r="J35" s="78"/>
      <c r="L35" s="1"/>
      <c r="M35" s="1"/>
      <c r="N35" s="1"/>
    </row>
    <row r="36" spans="1:14" s="3" customFormat="1" ht="14.4" customHeight="1" x14ac:dyDescent="0.25">
      <c r="A36" s="73"/>
      <c r="B36" s="77"/>
      <c r="C36" s="77"/>
      <c r="D36" s="77"/>
      <c r="E36" s="77"/>
      <c r="F36" s="77"/>
      <c r="G36" s="77"/>
      <c r="H36" s="77"/>
      <c r="I36" s="77"/>
      <c r="J36" s="78"/>
      <c r="L36" s="1"/>
      <c r="M36" s="1"/>
      <c r="N36" s="1"/>
    </row>
    <row r="37" spans="1:14" s="3" customFormat="1" ht="14.4" customHeight="1" x14ac:dyDescent="0.25">
      <c r="A37" s="73"/>
      <c r="B37" s="77"/>
      <c r="C37" s="77"/>
      <c r="D37" s="77"/>
      <c r="E37" s="77"/>
      <c r="F37" s="77"/>
      <c r="G37" s="77"/>
      <c r="H37" s="77"/>
      <c r="I37" s="77"/>
      <c r="J37" s="78"/>
      <c r="L37" s="1"/>
      <c r="M37" s="1"/>
      <c r="N37" s="1"/>
    </row>
    <row r="38" spans="1:14" s="3" customFormat="1" ht="14.4" customHeight="1" thickBot="1" x14ac:dyDescent="0.3">
      <c r="A38" s="74"/>
      <c r="B38" s="79"/>
      <c r="C38" s="79"/>
      <c r="D38" s="79"/>
      <c r="E38" s="79"/>
      <c r="F38" s="79"/>
      <c r="G38" s="79"/>
      <c r="H38" s="79"/>
      <c r="I38" s="79"/>
      <c r="J38" s="80"/>
      <c r="L38" s="1"/>
      <c r="M38" s="1"/>
      <c r="N38" s="1"/>
    </row>
  </sheetData>
  <dataConsolidate/>
  <mergeCells count="23">
    <mergeCell ref="A22:A27"/>
    <mergeCell ref="B22:J27"/>
    <mergeCell ref="A29:A38"/>
    <mergeCell ref="B29:J38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A8:B8"/>
    <mergeCell ref="C8:H8"/>
    <mergeCell ref="C2:K4"/>
    <mergeCell ref="A6:B6"/>
    <mergeCell ref="C6:H6"/>
    <mergeCell ref="A7:B7"/>
    <mergeCell ref="C7:H7"/>
  </mergeCells>
  <dataValidations count="4">
    <dataValidation type="list" allowBlank="1" showInputMessage="1" showErrorMessage="1" sqref="C9:H9" xr:uid="{8CAA982A-5535-4FAC-B153-302FB1AAA8E8}">
      <formula1>"Retech,SVC"</formula1>
    </dataValidation>
    <dataValidation type="list" allowBlank="1" showInputMessage="1" showErrorMessage="1" sqref="C10:H10" xr:uid="{E008800F-A080-47D2-BFAB-9A24898EEF37}">
      <formula1>"Yurtiçi,Yurtdışı"</formula1>
    </dataValidation>
    <dataValidation type="custom" allowBlank="1" showInputMessage="1" showErrorMessage="1" sqref="J10:K11" xr:uid="{931DAD81-A3F7-4E12-BE4D-A0951C059511}">
      <formula1>J10(TRUE,FALSE)</formula1>
    </dataValidation>
    <dataValidation type="list" allowBlank="1" showInputMessage="1" showErrorMessage="1" sqref="C8:H8" xr:uid="{03258D92-3089-463E-BFED-0DB32EB69EFD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Siby Manu, UK</vt:lpstr>
      <vt:lpstr>'Siby Manu, UK'!Yazdırma_Alanı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2026-05-12T11:12:02Z</dcterms:modified>
</cp:coreProperties>
</file>