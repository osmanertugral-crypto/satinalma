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AAB9837-0798-40CF-9287-B01AD7764492}" xr6:coauthVersionLast="47" xr6:coauthVersionMax="47" xr10:uidLastSave="{00000000-0000-0000-0000-000000000000}"/>
  <bookViews>
    <workbookView xWindow="-108" yWindow="-108" windowWidth="23256" windowHeight="12456" activeTab="1" xr2:uid="{BC64B11B-5757-4DF0-99DA-47F4F31A44F8}"/>
  </bookViews>
  <sheets>
    <sheet name="2026 KAZANILAN İŞLER" sheetId="11" r:id="rId1"/>
    <sheet name="SVC GENEL" sheetId="9" r:id="rId2"/>
    <sheet name="Sayfa1" sheetId="10" r:id="rId3"/>
    <sheet name="SVC GÜNCEL İŞLER" sheetId="8" r:id="rId4"/>
    <sheet name="SVC ALDIĞIMIZ İŞLER " sheetId="1" r:id="rId5"/>
    <sheet name="SVC ALAMADIĞIMIZ İŞLER" sheetId="7" r:id="rId6"/>
    <sheet name="RETECH" sheetId="2" r:id="rId7"/>
    <sheet name="Oyta 100 Araç" sheetId="5" r:id="rId8"/>
    <sheet name="Oyta 15 Araç" sheetId="6" r:id="rId9"/>
    <sheet name="Sheet3" sheetId="3" state="hidden" r:id="rId10"/>
    <sheet name="Sheet4" sheetId="4" state="hidden" r:id="rId11"/>
  </sheets>
  <definedNames>
    <definedName name="_xlnm._FilterDatabase" localSheetId="5" hidden="1">'SVC ALAMADIĞIMIZ İŞLER'!$B$1:$U$15</definedName>
    <definedName name="_xlnm._FilterDatabase" localSheetId="4" hidden="1">'SVC ALDIĞIMIZ İŞLER '!$C$1:$Y$9</definedName>
    <definedName name="_xlnm._FilterDatabase" localSheetId="1" hidden="1">'SVC GENEL'!$C$1:$Z$65</definedName>
    <definedName name="_xlnm._FilterDatabase" localSheetId="3" hidden="1">'SVC GÜNCEL İŞLER'!$B$1:$V$6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9" l="1"/>
  <c r="N70" i="9"/>
  <c r="K62" i="9"/>
  <c r="K69" i="9" l="1"/>
  <c r="N69" i="9"/>
  <c r="K68" i="9"/>
  <c r="N68" i="9"/>
  <c r="N62" i="9"/>
  <c r="N63" i="9"/>
  <c r="N64" i="9"/>
  <c r="N65" i="9"/>
  <c r="K65" i="9"/>
  <c r="K64" i="9"/>
  <c r="K63" i="9"/>
  <c r="K61" i="9"/>
  <c r="N61" i="9"/>
  <c r="K60" i="9"/>
  <c r="N60" i="9"/>
  <c r="N67" i="9"/>
  <c r="N66" i="9"/>
  <c r="K67" i="9"/>
  <c r="K66" i="9"/>
  <c r="U5" i="11" a="1"/>
  <c r="U5" i="11" s="1"/>
  <c r="U4" i="11" a="1"/>
  <c r="U4" i="11" s="1"/>
  <c r="R4" i="11" a="1"/>
  <c r="R4" i="11" s="1"/>
  <c r="Q4" i="11" a="1"/>
  <c r="Q4" i="11" s="1"/>
  <c r="P4" i="11" a="1"/>
  <c r="P4" i="11" s="1"/>
  <c r="O4" i="11" a="1"/>
  <c r="M4" i="11" a="1"/>
  <c r="M4" i="11" s="1"/>
  <c r="L4" i="11" a="1"/>
  <c r="L4" i="11" s="1"/>
  <c r="J4" i="11" a="1"/>
  <c r="J4" i="11" s="1"/>
  <c r="I4" i="11" a="1"/>
  <c r="I4" i="11" s="1"/>
  <c r="H4" i="11" a="1"/>
  <c r="H4" i="11" s="1"/>
  <c r="G4" i="11" a="1"/>
  <c r="G4" i="11" s="1"/>
  <c r="F4" i="11" a="1"/>
  <c r="F4" i="11" s="1"/>
  <c r="E4" i="11" a="1"/>
  <c r="E4" i="11" s="1"/>
  <c r="D4" i="11" a="1"/>
  <c r="C4" i="11" a="1"/>
  <c r="C4" i="11" s="1"/>
  <c r="B4" i="11" a="1"/>
  <c r="B4" i="11" s="1"/>
  <c r="A4" i="11" a="1"/>
  <c r="A4" i="11" s="1"/>
  <c r="K46" i="9"/>
  <c r="K50" i="9"/>
  <c r="N50" i="9"/>
  <c r="K59" i="9"/>
  <c r="N59" i="9"/>
  <c r="N55" i="9"/>
  <c r="N58" i="9"/>
  <c r="N57" i="9"/>
  <c r="N56" i="9"/>
  <c r="N52" i="9"/>
  <c r="N51" i="9"/>
  <c r="N49" i="9"/>
  <c r="N44" i="9"/>
  <c r="N43" i="9"/>
  <c r="N42" i="9"/>
  <c r="N41" i="9"/>
  <c r="K42" i="9"/>
  <c r="K41" i="9"/>
  <c r="O5" i="11" l="1" a="1"/>
  <c r="O5" i="11" s="1"/>
  <c r="O6" i="11" a="1"/>
  <c r="O6" i="11" s="1"/>
  <c r="O7" i="11" a="1"/>
  <c r="O7" i="11" s="1"/>
  <c r="O8" i="11" a="1"/>
  <c r="O8" i="11" s="1"/>
  <c r="O9" i="11" a="1"/>
  <c r="O9" i="11" s="1"/>
  <c r="O10" i="11" a="1"/>
  <c r="O10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O4" i="11"/>
  <c r="D4" i="11"/>
  <c r="K58" i="9"/>
  <c r="K52" i="9"/>
  <c r="K51" i="9"/>
  <c r="K57" i="9"/>
  <c r="K56" i="9"/>
  <c r="K55" i="9" l="1"/>
  <c r="L53" i="9"/>
  <c r="N53" i="9" s="1"/>
  <c r="L54" i="9"/>
  <c r="N54" i="9" s="1"/>
  <c r="K48" i="9"/>
  <c r="N46" i="9" l="1"/>
  <c r="K49" i="9"/>
  <c r="K44" i="9"/>
  <c r="K43" i="9"/>
  <c r="N29" i="9"/>
  <c r="N28" i="9"/>
  <c r="K29" i="9"/>
  <c r="K28" i="9"/>
  <c r="K38" i="9"/>
  <c r="K39" i="9"/>
  <c r="K37" i="9"/>
  <c r="K36" i="9"/>
  <c r="N35" i="9"/>
  <c r="K34" i="9"/>
  <c r="K35" i="9"/>
  <c r="N33" i="9"/>
  <c r="K33" i="9"/>
  <c r="N32" i="9"/>
  <c r="K32" i="9"/>
  <c r="N31" i="9"/>
  <c r="K31" i="9"/>
  <c r="N30" i="9"/>
  <c r="N4" i="11" s="1" a="1"/>
  <c r="N4" i="11" s="1"/>
  <c r="K30" i="9"/>
  <c r="K4" i="11" s="1" a="1"/>
  <c r="K4" i="11" s="1"/>
  <c r="N12" i="1"/>
  <c r="N13" i="1"/>
  <c r="N14" i="1"/>
  <c r="N11" i="1"/>
  <c r="K12" i="1"/>
  <c r="K13" i="1"/>
  <c r="K14" i="1"/>
  <c r="K11" i="1"/>
  <c r="N21" i="9"/>
  <c r="K21" i="9"/>
  <c r="N20" i="9"/>
  <c r="K20" i="9"/>
  <c r="N19" i="9"/>
  <c r="K19" i="9"/>
  <c r="N18" i="9"/>
  <c r="K18" i="9"/>
  <c r="N13" i="9"/>
  <c r="K13" i="9"/>
  <c r="N12" i="9"/>
  <c r="K12" i="9"/>
  <c r="N11" i="9"/>
  <c r="K11" i="9"/>
  <c r="N10" i="9"/>
  <c r="K10" i="9"/>
  <c r="N9" i="9"/>
  <c r="K9" i="9"/>
  <c r="N8" i="9"/>
  <c r="K8" i="9"/>
  <c r="N7" i="9"/>
  <c r="K7" i="9"/>
  <c r="N4" i="9"/>
  <c r="K4" i="9" s="1"/>
  <c r="N3" i="9"/>
  <c r="U6" i="11" s="1" a="1"/>
  <c r="U6" i="11" s="1"/>
  <c r="K3" i="9"/>
  <c r="N23" i="9"/>
  <c r="K23" i="9"/>
  <c r="N22" i="9"/>
  <c r="K22" i="9"/>
  <c r="N25" i="9"/>
  <c r="K25" i="9" s="1"/>
  <c r="N24" i="9"/>
  <c r="K24" i="9"/>
  <c r="N27" i="9"/>
  <c r="K27" i="9"/>
  <c r="N26" i="9"/>
  <c r="K26" i="9"/>
  <c r="O17" i="9"/>
  <c r="N17" i="9"/>
  <c r="K17" i="9"/>
  <c r="O16" i="9"/>
  <c r="N16" i="9"/>
  <c r="K16" i="9"/>
  <c r="O15" i="9"/>
  <c r="N15" i="9"/>
  <c r="K15" i="9"/>
  <c r="O14" i="9"/>
  <c r="N14" i="9"/>
  <c r="K14" i="9"/>
  <c r="O6" i="9"/>
  <c r="N6" i="9"/>
  <c r="K6" i="9"/>
  <c r="O5" i="9"/>
  <c r="N5" i="9"/>
  <c r="K5" i="9"/>
  <c r="K2" i="9"/>
  <c r="K10" i="1"/>
  <c r="N10" i="1"/>
  <c r="M6" i="8"/>
  <c r="M5" i="8"/>
  <c r="M4" i="8"/>
  <c r="J5" i="8"/>
  <c r="J6" i="8"/>
  <c r="J4" i="8"/>
  <c r="J2" i="8"/>
  <c r="M3" i="8"/>
  <c r="J3" i="8" s="1"/>
  <c r="M2" i="8"/>
  <c r="K9" i="1"/>
  <c r="N9" i="1"/>
  <c r="O3" i="1"/>
  <c r="J2" i="7"/>
  <c r="M2" i="7"/>
  <c r="M3" i="7"/>
  <c r="J3" i="7" s="1"/>
  <c r="J4" i="7"/>
  <c r="M4" i="7"/>
  <c r="J5" i="7"/>
  <c r="M5" i="7"/>
  <c r="J6" i="7"/>
  <c r="M6" i="7"/>
  <c r="J7" i="7"/>
  <c r="M7" i="7"/>
  <c r="J8" i="7"/>
  <c r="M8" i="7"/>
  <c r="J9" i="7"/>
  <c r="M9" i="7"/>
  <c r="J10" i="7"/>
  <c r="M10" i="7"/>
  <c r="J11" i="7"/>
  <c r="M11" i="7"/>
  <c r="J12" i="7"/>
  <c r="M12" i="7"/>
  <c r="J13" i="7"/>
  <c r="M13" i="7"/>
  <c r="J14" i="7"/>
  <c r="M14" i="7"/>
  <c r="M15" i="7"/>
  <c r="O4" i="1"/>
  <c r="O6" i="1"/>
  <c r="O7" i="1"/>
  <c r="O8" i="1"/>
  <c r="O5" i="1"/>
  <c r="K5" i="1" l="1"/>
  <c r="K6" i="1"/>
  <c r="K7" i="1"/>
  <c r="K8" i="1"/>
  <c r="K4" i="1"/>
  <c r="K3" i="1"/>
  <c r="K2" i="1"/>
  <c r="N4" i="1"/>
  <c r="N8" i="1"/>
  <c r="N7" i="1"/>
  <c r="N6" i="1"/>
  <c r="N5" i="1"/>
  <c r="G29" i="6"/>
  <c r="G28" i="6"/>
  <c r="E30" i="6"/>
  <c r="D22" i="6"/>
  <c r="D19" i="6"/>
  <c r="D15" i="6"/>
  <c r="F15" i="6" s="1"/>
  <c r="D14" i="6"/>
  <c r="F14" i="6" s="1"/>
  <c r="F11" i="6"/>
  <c r="G11" i="6" s="1"/>
  <c r="F7" i="6"/>
  <c r="H7" i="6" s="1"/>
  <c r="F6" i="6"/>
  <c r="H6" i="6" s="1"/>
  <c r="F5" i="6"/>
  <c r="H5" i="6" s="1"/>
  <c r="F4" i="6"/>
  <c r="H4" i="6" s="1"/>
  <c r="F3" i="6"/>
  <c r="H3" i="6" s="1"/>
  <c r="N3" i="1"/>
  <c r="G30" i="6" l="1"/>
  <c r="G31" i="6" s="1"/>
  <c r="H11" i="6"/>
  <c r="G3" i="6"/>
  <c r="E15" i="6"/>
  <c r="G4" i="6"/>
  <c r="E19" i="6"/>
  <c r="F19" i="6" s="1"/>
  <c r="G5" i="6"/>
  <c r="E22" i="6"/>
  <c r="F22" i="6" s="1"/>
  <c r="G6" i="6"/>
  <c r="G7" i="6"/>
  <c r="H53" i="5"/>
  <c r="H52" i="5"/>
  <c r="G48" i="5"/>
  <c r="G47" i="5"/>
  <c r="H47" i="5" s="1"/>
  <c r="H58" i="5" s="1"/>
  <c r="G46" i="5"/>
  <c r="H46" i="5" s="1"/>
  <c r="H57" i="5" s="1"/>
  <c r="G45" i="5"/>
  <c r="H45" i="5" s="1"/>
  <c r="G44" i="5"/>
  <c r="H44" i="5" s="1"/>
  <c r="E38" i="5"/>
  <c r="G37" i="5"/>
  <c r="G36" i="5"/>
  <c r="G38" i="5" s="1"/>
  <c r="G39" i="5" s="1"/>
  <c r="G31" i="5"/>
  <c r="E30" i="5"/>
  <c r="G29" i="5"/>
  <c r="G28" i="5"/>
  <c r="G27" i="5"/>
  <c r="G26" i="5"/>
  <c r="D22" i="5"/>
  <c r="D19" i="5"/>
  <c r="D15" i="5"/>
  <c r="E15" i="5" s="1"/>
  <c r="D14" i="5"/>
  <c r="F14" i="5" s="1"/>
  <c r="F11" i="5"/>
  <c r="G11" i="5" s="1"/>
  <c r="F7" i="5"/>
  <c r="H7" i="5" s="1"/>
  <c r="F6" i="5"/>
  <c r="H6" i="5" s="1"/>
  <c r="F5" i="5"/>
  <c r="H5" i="5" s="1"/>
  <c r="F4" i="5"/>
  <c r="H4" i="5" s="1"/>
  <c r="F3" i="5"/>
  <c r="G3" i="5" s="1"/>
  <c r="H2" i="2"/>
  <c r="G30" i="5" l="1"/>
  <c r="G32" i="5" s="1"/>
  <c r="G6" i="5"/>
  <c r="H3" i="5"/>
  <c r="F15" i="5"/>
  <c r="G7" i="5"/>
  <c r="G54" i="5"/>
  <c r="H54" i="5" s="1"/>
  <c r="H11" i="5"/>
  <c r="G4" i="5"/>
  <c r="E19" i="5"/>
  <c r="F19" i="5" s="1"/>
  <c r="G5" i="5"/>
  <c r="E22" i="5"/>
  <c r="F2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Yeliz Cosar</author>
  </authors>
  <commentList>
    <comment ref="K53" authorId="0" shapeId="0" xr:uid="{E635D06B-8B8D-4A19-8EBE-D634DFB99817}">
      <text>
        <r>
          <rPr>
            <b/>
            <sz val="9"/>
            <color indexed="81"/>
            <rFont val="Tahoma"/>
            <family val="2"/>
            <charset val="162"/>
          </rPr>
          <t>Yeliz Cosar:</t>
        </r>
        <r>
          <rPr>
            <sz val="9"/>
            <color indexed="81"/>
            <rFont val="Tahoma"/>
            <family val="2"/>
            <charset val="162"/>
          </rPr>
          <t xml:space="preserve">
Kalıp Maliyeti : 1680€
Tasarım : 980€</t>
        </r>
      </text>
    </comment>
    <comment ref="K54" authorId="0" shapeId="0" xr:uid="{C95CF8C5-852F-4E5F-ABF1-F73CEE2F79EE}">
      <text>
        <r>
          <rPr>
            <b/>
            <sz val="9"/>
            <color indexed="81"/>
            <rFont val="Tahoma"/>
            <family val="2"/>
            <charset val="162"/>
          </rPr>
          <t>Led Ekran olursa : 15000€ fark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<sst xmlns="http://schemas.openxmlformats.org/spreadsheetml/2006/main" count="948" uniqueCount="283">
  <si>
    <t>Tipi</t>
  </si>
  <si>
    <t>Adet</t>
  </si>
  <si>
    <t>İçerik</t>
  </si>
  <si>
    <t>Acil Müdahale Aracı</t>
  </si>
  <si>
    <t>Yıkama Ünitesiz</t>
  </si>
  <si>
    <t>Yıkama Üniteli</t>
  </si>
  <si>
    <t>Araç Boyama Detayı</t>
  </si>
  <si>
    <t xml:space="preserve">Su Bazlı boyama </t>
  </si>
  <si>
    <t>Solvent bazlı boyama</t>
  </si>
  <si>
    <t>Şirket İsmi</t>
  </si>
  <si>
    <t>Otokoc</t>
  </si>
  <si>
    <t>Teklif Tarihi</t>
  </si>
  <si>
    <t>Sipariş Tarihi</t>
  </si>
  <si>
    <t>Durum</t>
  </si>
  <si>
    <t>Maliyet</t>
  </si>
  <si>
    <t xml:space="preserve">Tedarikci 1 </t>
  </si>
  <si>
    <t>Tedarikci 2</t>
  </si>
  <si>
    <t>Teklif  Birim Fiyat (₺)</t>
  </si>
  <si>
    <t>Sipariş Birim Fiyatı</t>
  </si>
  <si>
    <t>Toplam Ciro Kdv Hariç</t>
  </si>
  <si>
    <t>Fatura 
Tarihi</t>
  </si>
  <si>
    <t>Tünel Aracı</t>
  </si>
  <si>
    <t>Limak</t>
  </si>
  <si>
    <t>Yolcu Kabini</t>
  </si>
  <si>
    <t>Otel</t>
  </si>
  <si>
    <t>Otel İç Tasarım</t>
  </si>
  <si>
    <t>City Homes  Capsul</t>
  </si>
  <si>
    <t>DURUM</t>
  </si>
  <si>
    <t>RED</t>
  </si>
  <si>
    <t>BEKLEME</t>
  </si>
  <si>
    <t>KAZANDIK</t>
  </si>
  <si>
    <t>SEÇ</t>
  </si>
  <si>
    <t>BEKLEMEDE</t>
  </si>
  <si>
    <t>Kurum Adı</t>
  </si>
  <si>
    <t>PROFİL ŞASE= MALZEME + İŞÇİLİK+ BOYA</t>
  </si>
  <si>
    <t>ARAÇ PARK</t>
  </si>
  <si>
    <t>MONTAJ</t>
  </si>
  <si>
    <t>BİRİM FİYAT (KDV HARİÇ)</t>
  </si>
  <si>
    <t>TOPLAM (KDV DAHİL)</t>
  </si>
  <si>
    <t>%50 PEŞİN ÖDEME</t>
  </si>
  <si>
    <t>KALAN ÖDEME</t>
  </si>
  <si>
    <t>Bluemac</t>
  </si>
  <si>
    <t>Dahil</t>
  </si>
  <si>
    <t>30 Gün Havale (İş Bitiminden)</t>
  </si>
  <si>
    <t>Yok</t>
  </si>
  <si>
    <t>Btb</t>
  </si>
  <si>
    <t>Hariç</t>
  </si>
  <si>
    <t>45 Gün Havale (İş Bitiminden)</t>
  </si>
  <si>
    <t>Özçelik</t>
  </si>
  <si>
    <t>PROFİL ŞASE= MALZEME + İŞÇİLİK+ BOYA+BRANDA+ÜST DOLAP VE KAPAK</t>
  </si>
  <si>
    <t>Vefa Tente</t>
  </si>
  <si>
    <t>TENTE BRANDA</t>
  </si>
  <si>
    <t>PEŞİN ÖDEME (KDV DAHİL)</t>
  </si>
  <si>
    <t>Mizan</t>
  </si>
  <si>
    <t>AĞUSTOS SONU</t>
  </si>
  <si>
    <t>İŞ BİTİMİ</t>
  </si>
  <si>
    <t>ELEKTRİK</t>
  </si>
  <si>
    <t>Armas</t>
  </si>
  <si>
    <t>İş Bitimi</t>
  </si>
  <si>
    <t>DOLAP</t>
  </si>
  <si>
    <t>OYTA 100 ADET JANDARMA PROJESİ GENEL TABLO</t>
  </si>
  <si>
    <t>Birim Fiyat</t>
  </si>
  <si>
    <t xml:space="preserve">TOPLAM KDV DAHİL </t>
  </si>
  <si>
    <t>1.Alınan Fiyatlar ve Maliyetler</t>
  </si>
  <si>
    <t>OTOPARK MONTAJ DAHİL</t>
  </si>
  <si>
    <t>TENTE</t>
  </si>
  <si>
    <t>Restar</t>
  </si>
  <si>
    <t>TOPLAM</t>
  </si>
  <si>
    <t>VERİLEN TEKLİF</t>
  </si>
  <si>
    <t>KALAN</t>
  </si>
  <si>
    <t>Son Alınan Fiyatlar ve Gerçekleştirilen</t>
  </si>
  <si>
    <t>Toplam Proje Tüm Maliyetler</t>
  </si>
  <si>
    <t>Kdv Hariç Toplam Tutar</t>
  </si>
  <si>
    <t>Kdv Dahil</t>
  </si>
  <si>
    <t>Numune Karkas + Nakliye</t>
  </si>
  <si>
    <t>Numune Tente + Nakliye</t>
  </si>
  <si>
    <t>Mizan Branda</t>
  </si>
  <si>
    <t>Araç Tente + Karkas</t>
  </si>
  <si>
    <t>Elektrik Çakar</t>
  </si>
  <si>
    <t>Menteşe</t>
  </si>
  <si>
    <t>Siyah cıvata m4x20</t>
  </si>
  <si>
    <t>Somun m4</t>
  </si>
  <si>
    <t>Vefa Tenteye Fatura Edilecek</t>
  </si>
  <si>
    <t>Akıllı Vida m4.8x25</t>
  </si>
  <si>
    <t>Toplam Tutara Eklenmedi</t>
  </si>
  <si>
    <t>Piston Numune</t>
  </si>
  <si>
    <t>Kırılan Araç Camı</t>
  </si>
  <si>
    <t>Yapılan Ödemeler</t>
  </si>
  <si>
    <t>Ödenen</t>
  </si>
  <si>
    <t>Kalan (Ödenecek)</t>
  </si>
  <si>
    <t xml:space="preserve">Vefa Tente </t>
  </si>
  <si>
    <t>ÇAYCUMA BELEDİYESİ</t>
  </si>
  <si>
    <t>4 TABUTLUKLU CENAZE ARACI</t>
  </si>
  <si>
    <t>SOĞUTUCULU - 4 TABUTLUKLU</t>
  </si>
  <si>
    <t>BİLİNMİYOR</t>
  </si>
  <si>
    <t>2 TABUTLUKLU CENAZE ARACI</t>
  </si>
  <si>
    <t>SOĞUTUCULU - 2 TABUTLUKLU</t>
  </si>
  <si>
    <t>DMO</t>
  </si>
  <si>
    <t>JANDARMA</t>
  </si>
  <si>
    <t>OYTA ( OPERASYONEL YÜK TAŞIMA ARACI)</t>
  </si>
  <si>
    <t>TENTE + BAŞLIK</t>
  </si>
  <si>
    <t>Custom 4x4 AT</t>
  </si>
  <si>
    <t>Custom 4x2 AT</t>
  </si>
  <si>
    <t>Courier Dizel MT</t>
  </si>
  <si>
    <t>Courier Benzin AT</t>
  </si>
  <si>
    <t>JANDARMA TRAFİK</t>
  </si>
  <si>
    <t>Custom 4x2 MT</t>
  </si>
  <si>
    <t>EMNİYET</t>
  </si>
  <si>
    <t>EMNİYET ASAYİŞ</t>
  </si>
  <si>
    <t>EMNİYET TRAFİK</t>
  </si>
  <si>
    <t>MSB</t>
  </si>
  <si>
    <t>PERİYODİK BAKIM ARACI</t>
  </si>
  <si>
    <t>YANGIN BAKIM VE HİZMET ARACI</t>
  </si>
  <si>
    <t>GÜVENLİK TİM ARACI</t>
  </si>
  <si>
    <t>TEPE LAMBALI VE PROJEKTÖRLÜ</t>
  </si>
  <si>
    <t>TEPE LAMBALI</t>
  </si>
  <si>
    <t>PROJEKTÖRLÜ</t>
  </si>
  <si>
    <t>OYTA 15 ADET JANDARMA PROJESİ GENEL TABLO</t>
  </si>
  <si>
    <t>Toplam Maliyet Kdv Hariç</t>
  </si>
  <si>
    <t>KARAYOLLARI GENEL MÜDÜRLÜĞÜ</t>
  </si>
  <si>
    <t>KGM ACİL MÜDAHALE ARACI YIKAMA ÜNÜTELİ + YIKAMA ÜNİTESİZ</t>
  </si>
  <si>
    <t xml:space="preserve">CENAZE ARACI </t>
  </si>
  <si>
    <t>MSB 3. KISIM 121 ADET BAKIM VE TİM ARAÇLARI</t>
  </si>
  <si>
    <t>Kurum</t>
  </si>
  <si>
    <t xml:space="preserve">JANDARMA </t>
  </si>
  <si>
    <t>JANDARMA + EMNİYET YOL TİPİ DEVRİYE ARACI 1308 ADET</t>
  </si>
  <si>
    <t>Döviz Kuru (Euro)</t>
  </si>
  <si>
    <t>Sipariş  Birim Fiyat (Euro)</t>
  </si>
  <si>
    <t>VEFA TENTE</t>
  </si>
  <si>
    <t>ARMAS</t>
  </si>
  <si>
    <t>Teklif Ön Hazırlık Maliyet</t>
  </si>
  <si>
    <t>Gerçekleşen
Maliyet</t>
  </si>
  <si>
    <t>Siparişteki teslim
Tarihi</t>
  </si>
  <si>
    <t>Gerçekleşen teslim
Tarihi</t>
  </si>
  <si>
    <t>Sıra No</t>
  </si>
  <si>
    <t>İşin Adı</t>
  </si>
  <si>
    <t>CENAZE ARACI</t>
  </si>
  <si>
    <t>DMA DEVRİYE</t>
  </si>
  <si>
    <t>AĞRI İL JANDARMA</t>
  </si>
  <si>
    <t>NEZARETHANELİ, TEPE LAMBALI</t>
  </si>
  <si>
    <t>ÖNEMLİ NOT</t>
  </si>
  <si>
    <t>Gelen Ödeme Tarihi</t>
  </si>
  <si>
    <t>ISPARTA BELEDİYESİ</t>
  </si>
  <si>
    <t>BELEDİYELER BİRLİĞİ</t>
  </si>
  <si>
    <t>DMA ARACI, NEZARETHANELİ (CUSTOM)</t>
  </si>
  <si>
    <t>DMA ARACI, NEZARETHANELİ (COURİER)</t>
  </si>
  <si>
    <t>4 KİŞİLİK NEZARETHANELİ (ARMAS =38.700+ STİCKER=13000)</t>
  </si>
  <si>
    <t>2 KİŞİLİK NEZARETHANELİ (ARMAS =38.700+ STİCKER=13000)</t>
  </si>
  <si>
    <t>SADECE (ARMAS =38.700+ STİCKER=13000)</t>
  </si>
  <si>
    <t>61 ADET  DMA ARACI NEZARETHANELİ</t>
  </si>
  <si>
    <t>DMA - YOL TİPİ DEVRİYE ARACI  COURİER</t>
  </si>
  <si>
    <t>DMA - YOL TİPİ DEVRİYE ARACI  CUSTOM</t>
  </si>
  <si>
    <t>ARMAS + STİCKER:  FİYAT HARİÇ ANLAŞILDI.</t>
  </si>
  <si>
    <t>ARMAS: 38.700 STİCKER: 13.000 FİYATA DAHİL</t>
  </si>
  <si>
    <t>20 ADET JANDARMA TENTELİ HK. (REVİZE 15 ADET)</t>
  </si>
  <si>
    <t>EGM - DMA ARACI NEZARETHANELİ (COURİER)</t>
  </si>
  <si>
    <t>EGM - (Minibüs 440E 16+1)</t>
  </si>
  <si>
    <t>2 KİŞİLİK NEZARETHANELİ +TEPE LAMPALI  +TELSİ SİREN TESİSATI +İŞARETLEME +WEBASTO</t>
  </si>
  <si>
    <t>TEPE LAMPALI  +TELSİ SİREN TESİSATI +İŞARETLEME +WEBASTO</t>
  </si>
  <si>
    <t>1500 ADET  DMA ARACI NEZARETHANELİ</t>
  </si>
  <si>
    <t>EMNİYET GENEL MÜDÜRLÜĞÜ</t>
  </si>
  <si>
    <t>JANDARMA DMA DEVRİYE</t>
  </si>
  <si>
    <t>EGM DMA DEVRİYE</t>
  </si>
  <si>
    <t>MSB 3. KISIM 24 ADET BAKIM VE TİM ARAÇLARI - İŞ GENİŞLETME KAPSAMINDA</t>
  </si>
  <si>
    <t>GÜVENLİK TİM ARACI AVADANLIK</t>
  </si>
  <si>
    <t>GENEL</t>
  </si>
  <si>
    <t>AVADANLIK SETİ</t>
  </si>
  <si>
    <t>TENTE + BAŞLIK + TELSİZ HAZ. + İKAZ SİSTEMİ</t>
  </si>
  <si>
    <t>MARAŞ BELEDİYESİ</t>
  </si>
  <si>
    <t>RANGER ÜST YAPI</t>
  </si>
  <si>
    <t>ARAÇ1 - KANOPİLİ FORD ORJİNAL</t>
  </si>
  <si>
    <t>ARAÇ1 - KANOPİLİ MUADİL ÜRÜNLERLE</t>
  </si>
  <si>
    <t>ARAÇ2 - KANOPİLİ FORD ORJİNAL</t>
  </si>
  <si>
    <t>ARAÇ2 - KANOPİLİ MUADİL ÜRÜNLERLE</t>
  </si>
  <si>
    <t>OYTA ( OPERASYONEL YÜK TAŞIMA ARACI) 350L Tek kabin</t>
  </si>
  <si>
    <t>JANDARMA TENTELİ 350 L Tek Kabin</t>
  </si>
  <si>
    <t>MSB 3. KISIM 24 ADET BAKIM VE TİM ARAÇLARI - İŞ GENİŞLETME KAPSAMINDA 350 M Çift Kbin</t>
  </si>
  <si>
    <t>PERİYODİK BAKIM ARACI 350M Çift Kabin</t>
  </si>
  <si>
    <t>YANGIN BAKIM VE HİZMET ARACI 350M Çift Kabin</t>
  </si>
  <si>
    <t>GÜVENLİK TİM ARACI 350M Çift Kabin</t>
  </si>
  <si>
    <t>Genel yazışmalar ve notlara bak. 3 ayrı ısıtıcılı fiyat ilettik.</t>
  </si>
  <si>
    <t>2. HAVA BAKIM MÜDÜRLÜĞÜ KAYSERİ</t>
  </si>
  <si>
    <t>AVADANLIK SETİ, ŞARNAME TEYİDİ İSTENDİ. HENÜZ İHALEYE ÇIKMADIĞI İÇİN FİYAT VERİLMEDİ.  ADET BİLİNMİYOR.</t>
  </si>
  <si>
    <t>10 ADET HOSTES TİPİ KOLTUK, ARAÇ İÇİ DOLAP, TEPE LAMBASI  ARAÇ İÇİ TRİMLER. HENÜZ İHALEYE ÇIKMADIĞI İÇİN FİYAT VERİLMEDİ. MALİYET HESABI YAPILDI.  ADET BİLİNMİYOR.</t>
  </si>
  <si>
    <t>TARIM ARAÇLARI MOBİL EĞİTİM ARACI ( 350 L VAN YÜKSEK TAVAN)</t>
  </si>
  <si>
    <t>CAST FOLYOLU,  RAFLI, EĞİTİM AVADANLIKLARIYLA</t>
  </si>
  <si>
    <t>FİLO İRİTİBAT ARACI (Transit 440E Minibüs )</t>
  </si>
  <si>
    <t>TRAFİK ARAÇLARI MOBİL EĞİTİM ARACI ( 350 L VAN YÜKSEK TAVAN)</t>
  </si>
  <si>
    <t>GENEL CENAZE</t>
  </si>
  <si>
    <t>FİYAT SORGULAMA</t>
  </si>
  <si>
    <t>İSTAÇ</t>
  </si>
  <si>
    <t>PROFİMAK</t>
  </si>
  <si>
    <t>TIBBİ ATIK TOPLAMA ARACI ÜST YAPI İŞİ</t>
  </si>
  <si>
    <t xml:space="preserve">PTO HARİÇ </t>
  </si>
  <si>
    <t>ÖN TEKLİF İLETİLDİ</t>
  </si>
  <si>
    <t xml:space="preserve"> BEKLEMEDE</t>
  </si>
  <si>
    <t>JANDARMA TENTELİ 350 L Çift Kabin</t>
  </si>
  <si>
    <t>OYTA ( OPERASYONEL YÜK TAŞIMA ARACI) 350L ÇİFT kabin</t>
  </si>
  <si>
    <t>tek kabin üzerinden hesaplandı, sonradan tek kabine döndü, ayrıca maliyet çalışmadı ama maliyet düşecektir.</t>
  </si>
  <si>
    <t>CUSTOM - 3 TABUTLUKLU CENAZE ARACI</t>
  </si>
  <si>
    <t xml:space="preserve">3 TABUTLUKLU, KONVEYÖRLÜ, SOĞUTUCULU </t>
  </si>
  <si>
    <t>AKSARAY BELEDİYESİ</t>
  </si>
  <si>
    <t>OLAY YERİ İNCELEME (FORD RANGER)</t>
  </si>
  <si>
    <t>METAL KANOPİLİ</t>
  </si>
  <si>
    <t>ARAMA KURTARMA  ARACI (FORD RANGER)</t>
  </si>
  <si>
    <t xml:space="preserve">TRAFİK DENETİM ARACI </t>
  </si>
  <si>
    <t>ARA BÖLMELİ, DOLAPLI, STİCKERLİ</t>
  </si>
  <si>
    <t>Fiat</t>
  </si>
  <si>
    <t>High Roof</t>
  </si>
  <si>
    <t>TEKLİF VERİLDİ</t>
  </si>
  <si>
    <t>Max Fly</t>
  </si>
  <si>
    <t>Üst Kat Teraslı,
CTP Panel Karavan</t>
  </si>
  <si>
    <t xml:space="preserve">MAX FLY ENERJ ICECEGI KARAVANI </t>
  </si>
  <si>
    <t xml:space="preserve">SİGARA DENETİM ARACI HIGH ROOF -  PEUGEOT EXPERT </t>
  </si>
  <si>
    <t>MEBS / BAKIM BİLGİ SİSTEMLERİ ARACI</t>
  </si>
  <si>
    <t>HOSTES TİPİ KOLTUKLU, MASALI, DOLAPLI</t>
  </si>
  <si>
    <t>DENETİM ARACI</t>
  </si>
  <si>
    <t>OLAY YERİ</t>
  </si>
  <si>
    <t>ARAMA KURTARMA</t>
  </si>
  <si>
    <t>ENERJİ İÇECEĞİ KARAVANI</t>
  </si>
  <si>
    <t>SİGARA DENETİM ARACI</t>
  </si>
  <si>
    <t>ASAYİŞ VAKFI</t>
  </si>
  <si>
    <t>ARMAS VE STİCKER HARİÇ</t>
  </si>
  <si>
    <t>MEBS  ARACI</t>
  </si>
  <si>
    <t>ÖN TEKLİF İLETİLDİ (MUHAMMEN )</t>
  </si>
  <si>
    <t>ŞARTNAME TEYİDİ (MUHAMMEN)</t>
  </si>
  <si>
    <t>JANDARMA GENEL KOMUTANLIĞI</t>
  </si>
  <si>
    <t>FORD RANGER, KORUMA DEMİRLİ, ARMASLI</t>
  </si>
  <si>
    <t>KORUMA DEMİRİ ARMAS EKİPMANLI</t>
  </si>
  <si>
    <t>JEMUS ARACI</t>
  </si>
  <si>
    <t>UÇAK HAT BAKIM ARACI (Transit 440E 16+1 Minibüs olacaktır)</t>
  </si>
  <si>
    <t>UÇAK HAT BAKIM ARACI  Transit 440E Camlıvan  olacaktır.maliyet 440E camlı van dikkate alınarak hazırlanmıştır.  Trimler + klima ilave edilmiştir. Boya dahil teyidi mail ile Yeliz hanımdan alınmıştır.</t>
  </si>
  <si>
    <t>MUHAMMEN BEDEL İLETİLDİ</t>
  </si>
  <si>
    <t>GÜVENLİK REAKSİYON POLİS TİM ARACI</t>
  </si>
  <si>
    <t>FORD TOURNEO COURİER</t>
  </si>
  <si>
    <t>Doğuş oto - Otokoç</t>
  </si>
  <si>
    <t>TEPE LAMBASI +TELSİZ HAZIRLIĞI +AVADANLIK</t>
  </si>
  <si>
    <t>solvent bazlı boya 100000</t>
  </si>
  <si>
    <t>SU ALTI ARAMA KURTARMA ARACI</t>
  </si>
  <si>
    <t xml:space="preserve">HAVA YANGIN LOJİSTİK ARACI </t>
  </si>
  <si>
    <t>SOKAK HAYVANLARI TAŞIMA ARACI</t>
  </si>
  <si>
    <t>3 TABUTLUKLU CENAZE ARACI</t>
  </si>
  <si>
    <t>BİRMOT</t>
  </si>
  <si>
    <t>SU KAYIPLARI TESPİT ARACI</t>
  </si>
  <si>
    <t>TEKİRDAĞ BELEDİYESİ</t>
  </si>
  <si>
    <t>2026 KAZANILAN İŞLER</t>
  </si>
  <si>
    <t>Sipariş Birim Fiyat (Euro)</t>
  </si>
  <si>
    <t>Teklif Birim Fiyat (₺)</t>
  </si>
  <si>
    <t>Sipariş Birim Fiyatı (₺)</t>
  </si>
  <si>
    <t>Toplam Ciro KDV Hariç (₺)</t>
  </si>
  <si>
    <t>ÖZET</t>
  </si>
  <si>
    <t>Toplam Kazanılan İş</t>
  </si>
  <si>
    <t>Toplam Adet</t>
  </si>
  <si>
    <t>Toplam Ciro (KDV Hariç)</t>
  </si>
  <si>
    <t>PLANANAN FATURA TARİHİ</t>
  </si>
  <si>
    <t xml:space="preserve"> Plan Fatura 
Tarihi</t>
  </si>
  <si>
    <t>Plan Fatura Tarihi</t>
  </si>
  <si>
    <t>Fatura Tarihi</t>
  </si>
  <si>
    <t>OTOKOÇ</t>
  </si>
  <si>
    <t>TEPE LAMBASI + PROJEKTÖR + AVADANLIK</t>
  </si>
  <si>
    <t>AVADANLIK</t>
  </si>
  <si>
    <t>İLAVE VİP KOLTUKLAR+ ARA BÖLME +DALIŞ TÜPÜ TAŞIMA VB</t>
  </si>
  <si>
    <t xml:space="preserve">Ford Transit 500ED Van  </t>
  </si>
  <si>
    <t>BİLİNMİYOR - KURCALA</t>
  </si>
  <si>
    <t>Ford Transit 350E Van</t>
  </si>
  <si>
    <t>ARAÇ TAKİP+ AVADANLIK + PROJE</t>
  </si>
  <si>
    <t xml:space="preserve">MSB GÜVENLİK İRTİBAT ARACI </t>
  </si>
  <si>
    <t xml:space="preserve">4 TABUTLUKLU, KONVEYÖRLÜ, SOĞUTUCULU </t>
  </si>
  <si>
    <t>SU KAÇAK TESPİT CİHAZ SETLERİ</t>
  </si>
  <si>
    <t>Ford Transit Custom</t>
  </si>
  <si>
    <t>Fiat Scudo</t>
  </si>
  <si>
    <t>Ford Transit 350L Van</t>
  </si>
  <si>
    <t>350 M ÇİFT KABİN</t>
  </si>
  <si>
    <t xml:space="preserve">TEPE LAMBALI VE PROJEKTÖRLÜ + TENTELİ + </t>
  </si>
  <si>
    <t>TENTELİ +</t>
  </si>
  <si>
    <t xml:space="preserve">Custom 320S VAN </t>
  </si>
  <si>
    <t>KAFES + ARA BÖLME</t>
  </si>
  <si>
    <t>MUĞLA AFET ACİL DURUM MOBİL HABERLEŞME KABİNİ (ATLAS)</t>
  </si>
  <si>
    <t>MUĞLA BELEDİYESİ / ARRUBA</t>
  </si>
  <si>
    <t>MUĞLA BELEDİYESİ</t>
  </si>
  <si>
    <t>MUĞLA BELEDİYESİ /ARRUBA Mahmut Demir</t>
  </si>
  <si>
    <t>GLADİATOR</t>
  </si>
  <si>
    <t xml:space="preserve">ATLAS, UYDU ANTENİ, MUST DİREK,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</si>
</sst>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_-[$₺-41F]* #,##0_-;\-[$₺-41F]* #,##0_-;_-[$₺-41F]* &quot;-&quot;??_-;_-@_-"/>
    <numFmt numFmtId="166" formatCode="_-[$₺-41F]* #,##0.00_-;\-[$₺-41F]* #,##0.00_-;_-[$₺-41F]* &quot;-&quot;??_-;_-@_-"/>
    <numFmt numFmtId="167" formatCode="[$EUR]\ #,##0.00"/>
    <numFmt numFmtId="168" formatCode="dd/mm/yyyy"/>
    <numFmt numFmtId="169" formatCode="#,##0\ \₺"/>
  </numFmts>
  <fonts count="21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name val="Aptos"/>
      <family val="2"/>
    </font>
    <font>
      <i/>
      <sz val="11"/>
      <name val="Aptos"/>
      <family val="2"/>
    </font>
    <font>
      <b/>
      <i/>
      <sz val="11"/>
      <color theme="1"/>
      <name val="Aptos"/>
      <family val="2"/>
      <charset val="162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"/>
      <family val="2"/>
      <charset val="162"/>
    </font>
    <font>
      <i/>
      <sz val="11"/>
      <name val="Aptos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4"/>
      <color rgb="FFFFFFFF"/>
      <name val="Aptos Narrow"/>
      <family val="2"/>
      <charset val="162"/>
      <scheme val="minor"/>
    </font>
    <font>
      <b/>
      <sz val="11"/>
      <color rgb="FF006100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5B2C87"/>
      <name val="Aptos Narrow"/>
      <family val="2"/>
      <charset val="162"/>
      <scheme val="minor"/>
    </font>
    <font>
      <b/>
      <sz val="11"/>
      <color rgb="FF7A4BAF"/>
      <name val="Aptos Narrow"/>
      <family val="2"/>
      <charset val="162"/>
      <scheme val="minor"/>
    </font>
    <font>
      <sz val="11"/>
      <color rgb="FF7A4BAF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6FC9"/>
        <bgColor indexed="64"/>
      </patternFill>
    </fill>
    <fill>
      <patternFill patternType="solid">
        <fgColor rgb="FFEADC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3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0" fillId="0" borderId="0" xfId="0" applyNumberFormat="1"/>
    <xf numFmtId="0" fontId="2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5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7" xfId="0" applyFill="1" applyBorder="1" applyAlignment="1">
      <alignment horizontal="left" vertical="center"/>
    </xf>
    <xf numFmtId="0" fontId="0" fillId="6" borderId="7" xfId="0" applyFill="1" applyBorder="1" applyAlignment="1">
      <alignment horizontal="left"/>
    </xf>
    <xf numFmtId="166" fontId="0" fillId="6" borderId="7" xfId="0" applyNumberFormat="1" applyFill="1" applyBorder="1" applyAlignment="1">
      <alignment horizontal="left"/>
    </xf>
    <xf numFmtId="166" fontId="0" fillId="6" borderId="5" xfId="0" applyNumberFormat="1" applyFill="1" applyBorder="1" applyAlignment="1">
      <alignment horizontal="left"/>
    </xf>
    <xf numFmtId="166" fontId="0" fillId="0" borderId="6" xfId="0" applyNumberFormat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166" fontId="0" fillId="6" borderId="0" xfId="0" applyNumberFormat="1" applyFill="1" applyAlignment="1">
      <alignment horizontal="left"/>
    </xf>
    <xf numFmtId="166" fontId="0" fillId="6" borderId="9" xfId="0" applyNumberFormat="1" applyFill="1" applyBorder="1" applyAlignment="1">
      <alignment horizontal="left"/>
    </xf>
    <xf numFmtId="166" fontId="0" fillId="0" borderId="10" xfId="0" applyNumberFormat="1" applyBorder="1" applyAlignment="1">
      <alignment horizontal="left"/>
    </xf>
    <xf numFmtId="166" fontId="0" fillId="6" borderId="6" xfId="0" applyNumberForma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left"/>
    </xf>
    <xf numFmtId="166" fontId="0" fillId="6" borderId="11" xfId="0" applyNumberFormat="1" applyFill="1" applyBorder="1" applyAlignment="1">
      <alignment horizontal="left"/>
    </xf>
    <xf numFmtId="166" fontId="0" fillId="6" borderId="10" xfId="0" applyNumberFormat="1" applyFill="1" applyBorder="1" applyAlignment="1">
      <alignment horizontal="left"/>
    </xf>
    <xf numFmtId="166" fontId="0" fillId="6" borderId="7" xfId="0" applyNumberFormat="1" applyFill="1" applyBorder="1"/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166" fontId="0" fillId="0" borderId="4" xfId="0" applyNumberFormat="1" applyBorder="1" applyAlignment="1">
      <alignment horizontal="left"/>
    </xf>
    <xf numFmtId="166" fontId="0" fillId="6" borderId="4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12" xfId="0" applyNumberFormat="1" applyBorder="1" applyAlignment="1">
      <alignment horizontal="left"/>
    </xf>
    <xf numFmtId="0" fontId="0" fillId="6" borderId="5" xfId="0" applyFill="1" applyBorder="1"/>
    <xf numFmtId="0" fontId="0" fillId="6" borderId="9" xfId="0" applyFill="1" applyBorder="1"/>
    <xf numFmtId="166" fontId="0" fillId="6" borderId="11" xfId="0" applyNumberFormat="1" applyFill="1" applyBorder="1"/>
    <xf numFmtId="0" fontId="0" fillId="6" borderId="2" xfId="0" applyFill="1" applyBorder="1"/>
    <xf numFmtId="166" fontId="0" fillId="6" borderId="4" xfId="0" applyNumberFormat="1" applyFill="1" applyBorder="1"/>
    <xf numFmtId="166" fontId="0" fillId="6" borderId="12" xfId="0" applyNumberFormat="1" applyFill="1" applyBorder="1" applyAlignment="1">
      <alignment horizontal="left"/>
    </xf>
    <xf numFmtId="0" fontId="0" fillId="0" borderId="2" xfId="0" applyBorder="1"/>
    <xf numFmtId="166" fontId="0" fillId="0" borderId="4" xfId="0" applyNumberFormat="1" applyBorder="1"/>
    <xf numFmtId="0" fontId="0" fillId="0" borderId="13" xfId="0" applyBorder="1"/>
    <xf numFmtId="166" fontId="0" fillId="0" borderId="0" xfId="0" applyNumberFormat="1"/>
    <xf numFmtId="0" fontId="0" fillId="7" borderId="14" xfId="0" applyFill="1" applyBorder="1"/>
    <xf numFmtId="0" fontId="0" fillId="0" borderId="16" xfId="0" applyBorder="1"/>
    <xf numFmtId="166" fontId="0" fillId="0" borderId="16" xfId="0" applyNumberFormat="1" applyBorder="1"/>
    <xf numFmtId="0" fontId="0" fillId="0" borderId="17" xfId="0" applyBorder="1"/>
    <xf numFmtId="166" fontId="0" fillId="0" borderId="12" xfId="0" applyNumberFormat="1" applyBorder="1"/>
    <xf numFmtId="166" fontId="8" fillId="8" borderId="18" xfId="0" applyNumberFormat="1" applyFont="1" applyFill="1" applyBorder="1"/>
    <xf numFmtId="0" fontId="8" fillId="8" borderId="18" xfId="0" applyFont="1" applyFill="1" applyBorder="1"/>
    <xf numFmtId="166" fontId="0" fillId="8" borderId="10" xfId="0" applyNumberFormat="1" applyFill="1" applyBorder="1"/>
    <xf numFmtId="0" fontId="0" fillId="3" borderId="1" xfId="0" applyFill="1" applyBorder="1" applyAlignment="1">
      <alignment horizontal="right"/>
    </xf>
    <xf numFmtId="166" fontId="8" fillId="3" borderId="1" xfId="0" applyNumberFormat="1" applyFont="1" applyFill="1" applyBorder="1"/>
    <xf numFmtId="166" fontId="8" fillId="0" borderId="19" xfId="0" applyNumberFormat="1" applyFont="1" applyBorder="1"/>
    <xf numFmtId="166" fontId="8" fillId="0" borderId="10" xfId="0" applyNumberFormat="1" applyFont="1" applyBorder="1"/>
    <xf numFmtId="0" fontId="0" fillId="0" borderId="3" xfId="0" applyBorder="1"/>
    <xf numFmtId="0" fontId="0" fillId="7" borderId="15" xfId="0" applyFill="1" applyBorder="1"/>
    <xf numFmtId="0" fontId="0" fillId="0" borderId="20" xfId="0" applyBorder="1"/>
    <xf numFmtId="0" fontId="8" fillId="0" borderId="18" xfId="0" applyFont="1" applyBorder="1"/>
    <xf numFmtId="166" fontId="0" fillId="0" borderId="10" xfId="0" applyNumberFormat="1" applyBorder="1"/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0" fontId="0" fillId="0" borderId="1" xfId="1" applyNumberFormat="1" applyFont="1" applyBorder="1"/>
    <xf numFmtId="44" fontId="0" fillId="0" borderId="1" xfId="1" applyFont="1" applyBorder="1"/>
    <xf numFmtId="44" fontId="0" fillId="0" borderId="1" xfId="0" applyNumberFormat="1" applyBorder="1"/>
    <xf numFmtId="0" fontId="0" fillId="9" borderId="1" xfId="0" applyFill="1" applyBorder="1"/>
    <xf numFmtId="44" fontId="0" fillId="9" borderId="1" xfId="1" applyFont="1" applyFill="1" applyBorder="1"/>
    <xf numFmtId="0" fontId="0" fillId="9" borderId="1" xfId="0" applyFill="1" applyBorder="1" applyAlignment="1">
      <alignment vertical="center"/>
    </xf>
    <xf numFmtId="0" fontId="8" fillId="3" borderId="1" xfId="0" applyFont="1" applyFill="1" applyBorder="1"/>
    <xf numFmtId="44" fontId="8" fillId="3" borderId="1" xfId="1" applyFont="1" applyFill="1" applyBorder="1"/>
    <xf numFmtId="44" fontId="8" fillId="3" borderId="1" xfId="0" applyNumberFormat="1" applyFont="1" applyFill="1" applyBorder="1"/>
    <xf numFmtId="0" fontId="8" fillId="5" borderId="22" xfId="0" applyFont="1" applyFill="1" applyBorder="1"/>
    <xf numFmtId="0" fontId="8" fillId="5" borderId="23" xfId="0" applyFont="1" applyFill="1" applyBorder="1"/>
    <xf numFmtId="0" fontId="8" fillId="5" borderId="24" xfId="0" applyFont="1" applyFill="1" applyBorder="1"/>
    <xf numFmtId="0" fontId="0" fillId="0" borderId="25" xfId="0" applyBorder="1"/>
    <xf numFmtId="44" fontId="0" fillId="0" borderId="26" xfId="1" applyFont="1" applyBorder="1"/>
    <xf numFmtId="0" fontId="0" fillId="0" borderId="27" xfId="0" applyBorder="1"/>
    <xf numFmtId="44" fontId="0" fillId="0" borderId="28" xfId="1" applyFont="1" applyBorder="1"/>
    <xf numFmtId="44" fontId="0" fillId="0" borderId="29" xfId="1" applyFont="1" applyBorder="1"/>
    <xf numFmtId="44" fontId="0" fillId="0" borderId="0" xfId="1" applyFont="1" applyBorder="1"/>
    <xf numFmtId="0" fontId="2" fillId="6" borderId="1" xfId="0" applyFont="1" applyFill="1" applyBorder="1" applyAlignment="1">
      <alignment vertical="center" wrapText="1"/>
    </xf>
    <xf numFmtId="0" fontId="0" fillId="6" borderId="0" xfId="0" applyFill="1"/>
    <xf numFmtId="44" fontId="2" fillId="6" borderId="1" xfId="1" applyFont="1" applyFill="1" applyBorder="1" applyAlignment="1">
      <alignment horizontal="center" vertical="center" wrapText="1"/>
    </xf>
    <xf numFmtId="166" fontId="0" fillId="0" borderId="19" xfId="0" applyNumberFormat="1" applyBorder="1"/>
    <xf numFmtId="166" fontId="0" fillId="0" borderId="2" xfId="0" applyNumberFormat="1" applyBorder="1"/>
    <xf numFmtId="166" fontId="8" fillId="8" borderId="31" xfId="0" applyNumberFormat="1" applyFont="1" applyFill="1" applyBorder="1"/>
    <xf numFmtId="0" fontId="0" fillId="3" borderId="30" xfId="0" applyFill="1" applyBorder="1" applyAlignment="1">
      <alignment horizontal="right"/>
    </xf>
    <xf numFmtId="0" fontId="8" fillId="0" borderId="32" xfId="0" applyFont="1" applyBorder="1"/>
    <xf numFmtId="166" fontId="8" fillId="3" borderId="33" xfId="0" applyNumberFormat="1" applyFont="1" applyFill="1" applyBorder="1"/>
    <xf numFmtId="166" fontId="8" fillId="0" borderId="26" xfId="0" applyNumberFormat="1" applyFont="1" applyBorder="1"/>
    <xf numFmtId="166" fontId="0" fillId="0" borderId="29" xfId="0" applyNumberFormat="1" applyBorder="1"/>
    <xf numFmtId="0" fontId="6" fillId="6" borderId="34" xfId="0" applyFont="1" applyFill="1" applyBorder="1" applyAlignment="1">
      <alignment horizontal="left" wrapText="1"/>
    </xf>
    <xf numFmtId="0" fontId="1" fillId="0" borderId="34" xfId="0" applyFont="1" applyBorder="1" applyAlignment="1">
      <alignment horizontal="center"/>
    </xf>
    <xf numFmtId="165" fontId="1" fillId="0" borderId="34" xfId="0" applyNumberFormat="1" applyFont="1" applyBorder="1" applyAlignment="1">
      <alignment horizontal="center"/>
    </xf>
    <xf numFmtId="0" fontId="2" fillId="2" borderId="21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 wrapText="1"/>
    </xf>
    <xf numFmtId="3" fontId="4" fillId="2" borderId="21" xfId="0" applyNumberFormat="1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10" fillId="10" borderId="17" xfId="0" applyFont="1" applyFill="1" applyBorder="1" applyAlignment="1">
      <alignment vertical="center" wrapText="1"/>
    </xf>
    <xf numFmtId="14" fontId="10" fillId="10" borderId="17" xfId="0" applyNumberFormat="1" applyFont="1" applyFill="1" applyBorder="1" applyAlignment="1">
      <alignment vertical="center" wrapText="1"/>
    </xf>
    <xf numFmtId="0" fontId="10" fillId="10" borderId="17" xfId="0" applyFont="1" applyFill="1" applyBorder="1" applyAlignment="1">
      <alignment horizontal="center" vertical="center" wrapText="1"/>
    </xf>
    <xf numFmtId="167" fontId="10" fillId="10" borderId="17" xfId="0" applyNumberFormat="1" applyFont="1" applyFill="1" applyBorder="1" applyAlignment="1">
      <alignment vertical="center" wrapText="1"/>
    </xf>
    <xf numFmtId="4" fontId="10" fillId="10" borderId="17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4" fontId="6" fillId="6" borderId="34" xfId="0" applyNumberFormat="1" applyFont="1" applyFill="1" applyBorder="1" applyAlignment="1">
      <alignment horizontal="left" wrapText="1"/>
    </xf>
    <xf numFmtId="4" fontId="1" fillId="0" borderId="0" xfId="0" applyNumberFormat="1" applyFont="1" applyAlignment="1">
      <alignment horizontal="left"/>
    </xf>
    <xf numFmtId="4" fontId="1" fillId="6" borderId="34" xfId="0" applyNumberFormat="1" applyFont="1" applyFill="1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4" fontId="6" fillId="6" borderId="34" xfId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vertical="center" wrapText="1"/>
    </xf>
    <xf numFmtId="14" fontId="10" fillId="6" borderId="1" xfId="0" applyNumberFormat="1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167" fontId="10" fillId="6" borderId="1" xfId="0" applyNumberFormat="1" applyFont="1" applyFill="1" applyBorder="1" applyAlignment="1">
      <alignment vertical="center" wrapText="1"/>
    </xf>
    <xf numFmtId="4" fontId="10" fillId="6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wrapText="1"/>
    </xf>
    <xf numFmtId="4" fontId="2" fillId="4" borderId="21" xfId="0" applyNumberFormat="1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vertical="center" wrapText="1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wrapText="1"/>
    </xf>
    <xf numFmtId="0" fontId="0" fillId="10" borderId="17" xfId="0" applyFill="1" applyBorder="1" applyAlignment="1">
      <alignment vertical="center"/>
    </xf>
    <xf numFmtId="14" fontId="3" fillId="10" borderId="17" xfId="0" applyNumberFormat="1" applyFont="1" applyFill="1" applyBorder="1" applyAlignment="1">
      <alignment vertical="center" wrapText="1"/>
    </xf>
    <xf numFmtId="4" fontId="3" fillId="6" borderId="20" xfId="0" applyNumberFormat="1" applyFont="1" applyFill="1" applyBorder="1" applyAlignment="1">
      <alignment vertical="center" wrapText="1"/>
    </xf>
    <xf numFmtId="44" fontId="3" fillId="10" borderId="17" xfId="1" applyFont="1" applyFill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vertical="center"/>
    </xf>
    <xf numFmtId="0" fontId="10" fillId="6" borderId="17" xfId="0" applyFont="1" applyFill="1" applyBorder="1" applyAlignment="1">
      <alignment vertical="center" wrapText="1"/>
    </xf>
    <xf numFmtId="14" fontId="10" fillId="6" borderId="17" xfId="0" applyNumberFormat="1" applyFont="1" applyFill="1" applyBorder="1" applyAlignment="1">
      <alignment vertical="center" wrapText="1"/>
    </xf>
    <xf numFmtId="0" fontId="10" fillId="6" borderId="17" xfId="0" applyFont="1" applyFill="1" applyBorder="1" applyAlignment="1">
      <alignment horizontal="center" vertical="center" wrapText="1"/>
    </xf>
    <xf numFmtId="167" fontId="10" fillId="6" borderId="17" xfId="0" applyNumberFormat="1" applyFont="1" applyFill="1" applyBorder="1" applyAlignment="1">
      <alignment vertical="center" wrapText="1"/>
    </xf>
    <xf numFmtId="4" fontId="10" fillId="6" borderId="17" xfId="0" applyNumberFormat="1" applyFont="1" applyFill="1" applyBorder="1" applyAlignment="1">
      <alignment vertical="center" wrapText="1"/>
    </xf>
    <xf numFmtId="14" fontId="6" fillId="6" borderId="17" xfId="0" applyNumberFormat="1" applyFont="1" applyFill="1" applyBorder="1" applyAlignment="1">
      <alignment horizontal="left" vertical="center" wrapText="1"/>
    </xf>
    <xf numFmtId="44" fontId="6" fillId="6" borderId="20" xfId="1" applyFont="1" applyFill="1" applyBorder="1" applyAlignment="1">
      <alignment horizontal="left" vertical="center" wrapText="1"/>
    </xf>
    <xf numFmtId="44" fontId="2" fillId="6" borderId="17" xfId="1" applyFont="1" applyFill="1" applyBorder="1" applyAlignment="1">
      <alignment vertical="center" wrapText="1"/>
    </xf>
    <xf numFmtId="0" fontId="6" fillId="10" borderId="17" xfId="0" applyFont="1" applyFill="1" applyBorder="1" applyAlignment="1">
      <alignment horizontal="left" wrapText="1"/>
    </xf>
    <xf numFmtId="44" fontId="2" fillId="6" borderId="17" xfId="1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vertical="center" wrapText="1"/>
    </xf>
    <xf numFmtId="14" fontId="10" fillId="6" borderId="23" xfId="0" applyNumberFormat="1" applyFont="1" applyFill="1" applyBorder="1" applyAlignment="1">
      <alignment vertical="center" wrapText="1"/>
    </xf>
    <xf numFmtId="0" fontId="10" fillId="6" borderId="23" xfId="0" applyFont="1" applyFill="1" applyBorder="1" applyAlignment="1">
      <alignment horizontal="center" vertical="center" wrapText="1"/>
    </xf>
    <xf numFmtId="167" fontId="10" fillId="6" borderId="23" xfId="0" applyNumberFormat="1" applyFont="1" applyFill="1" applyBorder="1" applyAlignment="1">
      <alignment vertical="center" wrapText="1"/>
    </xf>
    <xf numFmtId="4" fontId="10" fillId="6" borderId="23" xfId="0" applyNumberFormat="1" applyFont="1" applyFill="1" applyBorder="1" applyAlignment="1">
      <alignment vertical="center" wrapText="1"/>
    </xf>
    <xf numFmtId="0" fontId="6" fillId="6" borderId="23" xfId="0" applyFont="1" applyFill="1" applyBorder="1" applyAlignment="1">
      <alignment horizontal="left" wrapText="1"/>
    </xf>
    <xf numFmtId="44" fontId="6" fillId="6" borderId="44" xfId="1" applyFont="1" applyFill="1" applyBorder="1" applyAlignment="1">
      <alignment horizontal="center" vertical="center" wrapText="1"/>
    </xf>
    <xf numFmtId="44" fontId="2" fillId="6" borderId="23" xfId="1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vertical="center" wrapText="1"/>
    </xf>
    <xf numFmtId="14" fontId="10" fillId="6" borderId="28" xfId="0" applyNumberFormat="1" applyFont="1" applyFill="1" applyBorder="1" applyAlignment="1">
      <alignment vertical="center" wrapText="1"/>
    </xf>
    <xf numFmtId="0" fontId="10" fillId="6" borderId="28" xfId="0" applyFont="1" applyFill="1" applyBorder="1" applyAlignment="1">
      <alignment horizontal="center" vertical="center" wrapText="1"/>
    </xf>
    <xf numFmtId="167" fontId="10" fillId="6" borderId="28" xfId="0" applyNumberFormat="1" applyFont="1" applyFill="1" applyBorder="1" applyAlignment="1">
      <alignment vertical="center" wrapText="1"/>
    </xf>
    <xf numFmtId="4" fontId="10" fillId="6" borderId="28" xfId="0" applyNumberFormat="1" applyFont="1" applyFill="1" applyBorder="1" applyAlignment="1">
      <alignment vertical="center" wrapText="1"/>
    </xf>
    <xf numFmtId="0" fontId="6" fillId="6" borderId="28" xfId="0" applyFont="1" applyFill="1" applyBorder="1" applyAlignment="1">
      <alignment horizontal="left" wrapText="1"/>
    </xf>
    <xf numFmtId="44" fontId="6" fillId="6" borderId="45" xfId="1" applyFont="1" applyFill="1" applyBorder="1" applyAlignment="1">
      <alignment horizontal="center" vertical="center" wrapText="1"/>
    </xf>
    <xf numFmtId="44" fontId="2" fillId="6" borderId="28" xfId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 wrapText="1"/>
    </xf>
    <xf numFmtId="14" fontId="6" fillId="10" borderId="37" xfId="0" applyNumberFormat="1" applyFont="1" applyFill="1" applyBorder="1" applyAlignment="1">
      <alignment horizontal="left" wrapText="1"/>
    </xf>
    <xf numFmtId="14" fontId="6" fillId="10" borderId="36" xfId="0" applyNumberFormat="1" applyFont="1" applyFill="1" applyBorder="1" applyAlignment="1">
      <alignment horizontal="left" wrapText="1"/>
    </xf>
    <xf numFmtId="14" fontId="6" fillId="10" borderId="1" xfId="0" applyNumberFormat="1" applyFont="1" applyFill="1" applyBorder="1" applyAlignment="1">
      <alignment horizontal="left" wrapText="1"/>
    </xf>
    <xf numFmtId="14" fontId="6" fillId="10" borderId="17" xfId="0" applyNumberFormat="1" applyFont="1" applyFill="1" applyBorder="1" applyAlignment="1">
      <alignment horizontal="left" vertical="center" wrapText="1"/>
    </xf>
    <xf numFmtId="14" fontId="2" fillId="10" borderId="17" xfId="0" applyNumberFormat="1" applyFont="1" applyFill="1" applyBorder="1" applyAlignment="1">
      <alignment horizontal="left" vertical="center" wrapText="1"/>
    </xf>
    <xf numFmtId="4" fontId="10" fillId="6" borderId="24" xfId="0" applyNumberFormat="1" applyFont="1" applyFill="1" applyBorder="1" applyAlignment="1">
      <alignment vertical="center" wrapText="1"/>
    </xf>
    <xf numFmtId="0" fontId="10" fillId="6" borderId="21" xfId="0" applyFont="1" applyFill="1" applyBorder="1" applyAlignment="1">
      <alignment vertical="center" wrapText="1"/>
    </xf>
    <xf numFmtId="14" fontId="10" fillId="6" borderId="21" xfId="0" applyNumberFormat="1" applyFont="1" applyFill="1" applyBorder="1" applyAlignment="1">
      <alignment vertical="center" wrapText="1"/>
    </xf>
    <xf numFmtId="0" fontId="10" fillId="6" borderId="21" xfId="0" applyFont="1" applyFill="1" applyBorder="1" applyAlignment="1">
      <alignment horizontal="center" vertical="center" wrapText="1"/>
    </xf>
    <xf numFmtId="167" fontId="10" fillId="6" borderId="21" xfId="0" applyNumberFormat="1" applyFont="1" applyFill="1" applyBorder="1" applyAlignment="1">
      <alignment vertical="center" wrapText="1"/>
    </xf>
    <xf numFmtId="4" fontId="10" fillId="6" borderId="21" xfId="0" applyNumberFormat="1" applyFont="1" applyFill="1" applyBorder="1" applyAlignment="1">
      <alignment vertical="center" wrapText="1"/>
    </xf>
    <xf numFmtId="4" fontId="10" fillId="6" borderId="35" xfId="0" applyNumberFormat="1" applyFont="1" applyFill="1" applyBorder="1" applyAlignment="1">
      <alignment vertical="center" wrapText="1"/>
    </xf>
    <xf numFmtId="4" fontId="10" fillId="6" borderId="47" xfId="0" applyNumberFormat="1" applyFont="1" applyFill="1" applyBorder="1" applyAlignment="1">
      <alignment vertical="center" wrapText="1"/>
    </xf>
    <xf numFmtId="4" fontId="10" fillId="6" borderId="29" xfId="0" applyNumberFormat="1" applyFont="1" applyFill="1" applyBorder="1" applyAlignment="1">
      <alignment vertical="center" wrapText="1"/>
    </xf>
    <xf numFmtId="44" fontId="2" fillId="10" borderId="23" xfId="1" applyFont="1" applyFill="1" applyBorder="1" applyAlignment="1">
      <alignment horizontal="center" vertical="center" wrapText="1"/>
    </xf>
    <xf numFmtId="44" fontId="2" fillId="10" borderId="18" xfId="1" applyFont="1" applyFill="1" applyBorder="1" applyAlignment="1">
      <alignment horizontal="center" vertical="center" wrapText="1"/>
    </xf>
    <xf numFmtId="44" fontId="2" fillId="10" borderId="1" xfId="1" applyFont="1" applyFill="1" applyBorder="1" applyAlignment="1">
      <alignment horizontal="center" vertical="center" wrapText="1"/>
    </xf>
    <xf numFmtId="44" fontId="2" fillId="10" borderId="28" xfId="1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0" borderId="37" xfId="0" applyFill="1" applyBorder="1" applyAlignment="1">
      <alignment vertical="center" wrapText="1"/>
    </xf>
    <xf numFmtId="0" fontId="10" fillId="10" borderId="37" xfId="0" applyFont="1" applyFill="1" applyBorder="1" applyAlignment="1">
      <alignment vertical="center" wrapText="1"/>
    </xf>
    <xf numFmtId="14" fontId="10" fillId="10" borderId="37" xfId="0" applyNumberFormat="1" applyFont="1" applyFill="1" applyBorder="1" applyAlignment="1">
      <alignment vertical="center" wrapText="1"/>
    </xf>
    <xf numFmtId="0" fontId="10" fillId="10" borderId="37" xfId="0" applyFont="1" applyFill="1" applyBorder="1" applyAlignment="1">
      <alignment horizontal="center" vertical="center" wrapText="1"/>
    </xf>
    <xf numFmtId="167" fontId="10" fillId="10" borderId="37" xfId="0" applyNumberFormat="1" applyFont="1" applyFill="1" applyBorder="1" applyAlignment="1">
      <alignment vertical="center" wrapText="1"/>
    </xf>
    <xf numFmtId="4" fontId="10" fillId="10" borderId="37" xfId="0" applyNumberFormat="1" applyFont="1" applyFill="1" applyBorder="1" applyAlignment="1">
      <alignment vertical="center" wrapText="1"/>
    </xf>
    <xf numFmtId="0" fontId="6" fillId="10" borderId="37" xfId="0" applyFont="1" applyFill="1" applyBorder="1" applyAlignment="1">
      <alignment horizontal="left" wrapText="1"/>
    </xf>
    <xf numFmtId="44" fontId="6" fillId="6" borderId="48" xfId="1" applyFont="1" applyFill="1" applyBorder="1" applyAlignment="1">
      <alignment horizontal="center" vertical="center" wrapText="1"/>
    </xf>
    <xf numFmtId="44" fontId="2" fillId="6" borderId="37" xfId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/>
    </xf>
    <xf numFmtId="0" fontId="0" fillId="6" borderId="1" xfId="0" applyFill="1" applyBorder="1"/>
    <xf numFmtId="0" fontId="2" fillId="6" borderId="49" xfId="0" applyFont="1" applyFill="1" applyBorder="1" applyAlignment="1">
      <alignment vertical="center" wrapText="1"/>
    </xf>
    <xf numFmtId="0" fontId="3" fillId="0" borderId="50" xfId="0" applyFont="1" applyBorder="1" applyAlignment="1">
      <alignment vertical="center" wrapText="1"/>
    </xf>
    <xf numFmtId="44" fontId="2" fillId="6" borderId="50" xfId="1" applyFont="1" applyFill="1" applyBorder="1" applyAlignment="1">
      <alignment vertical="center" wrapText="1"/>
    </xf>
    <xf numFmtId="0" fontId="2" fillId="6" borderId="50" xfId="0" applyFont="1" applyFill="1" applyBorder="1" applyAlignment="1">
      <alignment vertical="center" wrapText="1"/>
    </xf>
    <xf numFmtId="0" fontId="2" fillId="6" borderId="51" xfId="0" applyFont="1" applyFill="1" applyBorder="1" applyAlignment="1">
      <alignment vertical="center" wrapText="1"/>
    </xf>
    <xf numFmtId="0" fontId="2" fillId="6" borderId="30" xfId="0" applyFont="1" applyFill="1" applyBorder="1" applyAlignment="1">
      <alignment vertical="center" wrapText="1"/>
    </xf>
    <xf numFmtId="0" fontId="2" fillId="6" borderId="52" xfId="0" applyFont="1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14" fontId="6" fillId="10" borderId="37" xfId="0" applyNumberFormat="1" applyFont="1" applyFill="1" applyBorder="1" applyAlignment="1">
      <alignment horizontal="left" vertical="center" wrapText="1"/>
    </xf>
    <xf numFmtId="14" fontId="6" fillId="6" borderId="28" xfId="0" applyNumberFormat="1" applyFont="1" applyFill="1" applyBorder="1" applyAlignment="1">
      <alignment horizontal="left" wrapText="1"/>
    </xf>
    <xf numFmtId="14" fontId="6" fillId="6" borderId="23" xfId="0" applyNumberFormat="1" applyFont="1" applyFill="1" applyBorder="1" applyAlignment="1">
      <alignment horizontal="left" wrapText="1"/>
    </xf>
    <xf numFmtId="14" fontId="6" fillId="6" borderId="1" xfId="0" applyNumberFormat="1" applyFont="1" applyFill="1" applyBorder="1" applyAlignment="1">
      <alignment horizontal="left" wrapText="1"/>
    </xf>
    <xf numFmtId="0" fontId="10" fillId="6" borderId="22" xfId="0" applyFont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3" fontId="0" fillId="0" borderId="23" xfId="0" applyNumberFormat="1" applyBorder="1"/>
    <xf numFmtId="0" fontId="0" fillId="0" borderId="23" xfId="0" applyBorder="1"/>
    <xf numFmtId="0" fontId="10" fillId="6" borderId="27" xfId="0" applyFont="1" applyFill="1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3" fontId="0" fillId="0" borderId="28" xfId="0" applyNumberFormat="1" applyBorder="1"/>
    <xf numFmtId="0" fontId="0" fillId="0" borderId="28" xfId="0" applyBorder="1"/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10" fillId="6" borderId="37" xfId="0" applyFont="1" applyFill="1" applyBorder="1" applyAlignment="1">
      <alignment vertical="center" wrapText="1"/>
    </xf>
    <xf numFmtId="0" fontId="10" fillId="6" borderId="18" xfId="0" applyFont="1" applyFill="1" applyBorder="1" applyAlignment="1">
      <alignment vertical="center" wrapText="1"/>
    </xf>
    <xf numFmtId="167" fontId="10" fillId="7" borderId="23" xfId="0" applyNumberFormat="1" applyFont="1" applyFill="1" applyBorder="1" applyAlignment="1">
      <alignment vertical="center" wrapText="1"/>
    </xf>
    <xf numFmtId="4" fontId="10" fillId="7" borderId="23" xfId="0" applyNumberFormat="1" applyFont="1" applyFill="1" applyBorder="1" applyAlignment="1">
      <alignment vertical="center" wrapText="1"/>
    </xf>
    <xf numFmtId="0" fontId="0" fillId="7" borderId="23" xfId="0" applyFill="1" applyBorder="1" applyAlignment="1">
      <alignment vertical="center"/>
    </xf>
    <xf numFmtId="0" fontId="0" fillId="7" borderId="23" xfId="0" applyFill="1" applyBorder="1" applyAlignment="1">
      <alignment vertical="center" wrapText="1"/>
    </xf>
    <xf numFmtId="0" fontId="0" fillId="7" borderId="23" xfId="0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 wrapText="1"/>
    </xf>
    <xf numFmtId="167" fontId="10" fillId="10" borderId="1" xfId="0" applyNumberFormat="1" applyFont="1" applyFill="1" applyBorder="1" applyAlignment="1">
      <alignment vertical="center" wrapText="1"/>
    </xf>
    <xf numFmtId="4" fontId="10" fillId="10" borderId="1" xfId="0" applyNumberFormat="1" applyFont="1" applyFill="1" applyBorder="1" applyAlignment="1">
      <alignment vertical="center" wrapText="1"/>
    </xf>
    <xf numFmtId="0" fontId="10" fillId="10" borderId="23" xfId="0" applyFont="1" applyFill="1" applyBorder="1" applyAlignment="1">
      <alignment vertical="center" wrapText="1"/>
    </xf>
    <xf numFmtId="14" fontId="10" fillId="10" borderId="23" xfId="0" applyNumberFormat="1" applyFont="1" applyFill="1" applyBorder="1" applyAlignment="1">
      <alignment vertical="center" wrapText="1"/>
    </xf>
    <xf numFmtId="0" fontId="10" fillId="10" borderId="23" xfId="0" applyFont="1" applyFill="1" applyBorder="1" applyAlignment="1">
      <alignment horizontal="center" vertical="center" wrapText="1"/>
    </xf>
    <xf numFmtId="167" fontId="10" fillId="10" borderId="23" xfId="0" applyNumberFormat="1" applyFont="1" applyFill="1" applyBorder="1" applyAlignment="1">
      <alignment vertical="center" wrapText="1"/>
    </xf>
    <xf numFmtId="4" fontId="10" fillId="10" borderId="23" xfId="0" applyNumberFormat="1" applyFont="1" applyFill="1" applyBorder="1" applyAlignment="1">
      <alignment vertical="center" wrapText="1"/>
    </xf>
    <xf numFmtId="14" fontId="10" fillId="10" borderId="1" xfId="0" applyNumberFormat="1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8" xfId="0" applyFont="1" applyFill="1" applyBorder="1" applyAlignment="1">
      <alignment vertical="center" wrapText="1"/>
    </xf>
    <xf numFmtId="14" fontId="10" fillId="10" borderId="28" xfId="0" applyNumberFormat="1" applyFont="1" applyFill="1" applyBorder="1" applyAlignment="1">
      <alignment vertical="center" wrapText="1"/>
    </xf>
    <xf numFmtId="0" fontId="10" fillId="10" borderId="28" xfId="0" applyFont="1" applyFill="1" applyBorder="1" applyAlignment="1">
      <alignment horizontal="center" vertical="center" wrapText="1"/>
    </xf>
    <xf numFmtId="167" fontId="10" fillId="10" borderId="28" xfId="0" applyNumberFormat="1" applyFont="1" applyFill="1" applyBorder="1" applyAlignment="1">
      <alignment vertical="center" wrapText="1"/>
    </xf>
    <xf numFmtId="4" fontId="10" fillId="10" borderId="28" xfId="0" applyNumberFormat="1" applyFont="1" applyFill="1" applyBorder="1" applyAlignment="1">
      <alignment vertical="center" wrapText="1"/>
    </xf>
    <xf numFmtId="0" fontId="10" fillId="6" borderId="35" xfId="0" applyFont="1" applyFill="1" applyBorder="1" applyAlignment="1">
      <alignment vertical="center" wrapText="1"/>
    </xf>
    <xf numFmtId="0" fontId="10" fillId="6" borderId="24" xfId="0" applyFont="1" applyFill="1" applyBorder="1" applyAlignment="1">
      <alignment vertical="center" wrapText="1"/>
    </xf>
    <xf numFmtId="0" fontId="10" fillId="6" borderId="38" xfId="0" applyFont="1" applyFill="1" applyBorder="1" applyAlignment="1">
      <alignment vertical="center" wrapText="1"/>
    </xf>
    <xf numFmtId="0" fontId="10" fillId="6" borderId="26" xfId="0" applyFont="1" applyFill="1" applyBorder="1" applyAlignment="1">
      <alignment vertical="center" wrapText="1"/>
    </xf>
    <xf numFmtId="0" fontId="10" fillId="6" borderId="39" xfId="0" applyFont="1" applyFill="1" applyBorder="1" applyAlignment="1">
      <alignment vertical="center" wrapText="1"/>
    </xf>
    <xf numFmtId="0" fontId="10" fillId="6" borderId="40" xfId="0" applyFont="1" applyFill="1" applyBorder="1" applyAlignment="1">
      <alignment vertical="center" wrapText="1"/>
    </xf>
    <xf numFmtId="165" fontId="11" fillId="6" borderId="23" xfId="0" applyNumberFormat="1" applyFont="1" applyFill="1" applyBorder="1" applyAlignment="1">
      <alignment vertical="center" wrapText="1"/>
    </xf>
    <xf numFmtId="0" fontId="0" fillId="6" borderId="23" xfId="0" applyFill="1" applyBorder="1"/>
    <xf numFmtId="0" fontId="0" fillId="6" borderId="24" xfId="0" applyFill="1" applyBorder="1"/>
    <xf numFmtId="0" fontId="10" fillId="6" borderId="25" xfId="0" applyFont="1" applyFill="1" applyBorder="1" applyAlignment="1">
      <alignment vertical="center" wrapText="1"/>
    </xf>
    <xf numFmtId="165" fontId="11" fillId="6" borderId="1" xfId="0" applyNumberFormat="1" applyFont="1" applyFill="1" applyBorder="1" applyAlignment="1">
      <alignment vertical="center" wrapText="1"/>
    </xf>
    <xf numFmtId="0" fontId="0" fillId="6" borderId="26" xfId="0" applyFill="1" applyBorder="1"/>
    <xf numFmtId="165" fontId="11" fillId="6" borderId="28" xfId="0" applyNumberFormat="1" applyFont="1" applyFill="1" applyBorder="1" applyAlignment="1">
      <alignment vertical="center" wrapText="1"/>
    </xf>
    <xf numFmtId="0" fontId="0" fillId="6" borderId="28" xfId="0" applyFill="1" applyBorder="1"/>
    <xf numFmtId="0" fontId="0" fillId="6" borderId="29" xfId="0" applyFill="1" applyBorder="1"/>
    <xf numFmtId="14" fontId="6" fillId="6" borderId="1" xfId="0" applyNumberFormat="1" applyFont="1" applyFill="1" applyBorder="1" applyAlignment="1">
      <alignment horizontal="left" vertical="center" wrapText="1"/>
    </xf>
    <xf numFmtId="0" fontId="0" fillId="10" borderId="28" xfId="0" applyFill="1" applyBorder="1" applyAlignment="1">
      <alignment vertical="center"/>
    </xf>
    <xf numFmtId="0" fontId="0" fillId="10" borderId="28" xfId="0" applyFill="1" applyBorder="1" applyAlignment="1">
      <alignment horizontal="center" vertical="center"/>
    </xf>
    <xf numFmtId="0" fontId="0" fillId="10" borderId="28" xfId="0" applyFill="1" applyBorder="1"/>
    <xf numFmtId="14" fontId="0" fillId="10" borderId="28" xfId="0" applyNumberFormat="1" applyFill="1" applyBorder="1" applyAlignment="1">
      <alignment vertical="center"/>
    </xf>
    <xf numFmtId="14" fontId="10" fillId="10" borderId="18" xfId="0" applyNumberFormat="1" applyFont="1" applyFill="1" applyBorder="1" applyAlignment="1">
      <alignment vertical="center" wrapText="1"/>
    </xf>
    <xf numFmtId="0" fontId="0" fillId="10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4" fontId="10" fillId="10" borderId="50" xfId="0" applyNumberFormat="1" applyFont="1" applyFill="1" applyBorder="1" applyAlignment="1">
      <alignment horizontal="center" vertical="center" wrapText="1"/>
    </xf>
    <xf numFmtId="0" fontId="10" fillId="10" borderId="50" xfId="0" applyFont="1" applyFill="1" applyBorder="1" applyAlignment="1">
      <alignment horizontal="center" vertical="center" wrapText="1"/>
    </xf>
    <xf numFmtId="0" fontId="10" fillId="6" borderId="51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6" borderId="52" xfId="0" applyFont="1" applyFill="1" applyBorder="1" applyAlignment="1">
      <alignment horizontal="center" vertical="center" wrapText="1"/>
    </xf>
    <xf numFmtId="0" fontId="10" fillId="10" borderId="51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10" fillId="10" borderId="52" xfId="0" applyFont="1" applyFill="1" applyBorder="1" applyAlignment="1">
      <alignment horizontal="center" vertical="center" wrapText="1"/>
    </xf>
    <xf numFmtId="44" fontId="6" fillId="6" borderId="1" xfId="1" applyFont="1" applyFill="1" applyBorder="1" applyAlignment="1">
      <alignment horizontal="center" vertical="center" wrapText="1"/>
    </xf>
    <xf numFmtId="14" fontId="2" fillId="10" borderId="16" xfId="0" applyNumberFormat="1" applyFont="1" applyFill="1" applyBorder="1" applyAlignment="1">
      <alignment horizontal="left" vertical="center" wrapText="1"/>
    </xf>
    <xf numFmtId="14" fontId="2" fillId="6" borderId="22" xfId="0" applyNumberFormat="1" applyFont="1" applyFill="1" applyBorder="1" applyAlignment="1">
      <alignment horizontal="left" vertical="center" wrapText="1"/>
    </xf>
    <xf numFmtId="14" fontId="3" fillId="6" borderId="23" xfId="0" applyNumberFormat="1" applyFont="1" applyFill="1" applyBorder="1" applyAlignment="1">
      <alignment vertical="center" wrapText="1"/>
    </xf>
    <xf numFmtId="4" fontId="3" fillId="6" borderId="23" xfId="0" applyNumberFormat="1" applyFont="1" applyFill="1" applyBorder="1" applyAlignment="1">
      <alignment vertical="center" wrapText="1"/>
    </xf>
    <xf numFmtId="44" fontId="3" fillId="6" borderId="23" xfId="1" applyFont="1" applyFill="1" applyBorder="1" applyAlignment="1">
      <alignment vertical="center" wrapText="1"/>
    </xf>
    <xf numFmtId="0" fontId="3" fillId="6" borderId="23" xfId="0" applyFont="1" applyFill="1" applyBorder="1" applyAlignment="1">
      <alignment vertical="center" wrapText="1"/>
    </xf>
    <xf numFmtId="14" fontId="2" fillId="6" borderId="27" xfId="0" applyNumberFormat="1" applyFont="1" applyFill="1" applyBorder="1" applyAlignment="1">
      <alignment horizontal="left" vertical="center" wrapText="1"/>
    </xf>
    <xf numFmtId="14" fontId="3" fillId="6" borderId="28" xfId="0" applyNumberFormat="1" applyFont="1" applyFill="1" applyBorder="1" applyAlignment="1">
      <alignment vertical="center" wrapText="1"/>
    </xf>
    <xf numFmtId="4" fontId="3" fillId="6" borderId="28" xfId="0" applyNumberFormat="1" applyFont="1" applyFill="1" applyBorder="1" applyAlignment="1">
      <alignment vertical="center" wrapText="1"/>
    </xf>
    <xf numFmtId="44" fontId="3" fillId="6" borderId="28" xfId="1" applyFont="1" applyFill="1" applyBorder="1" applyAlignment="1">
      <alignment vertical="center" wrapText="1"/>
    </xf>
    <xf numFmtId="0" fontId="3" fillId="6" borderId="28" xfId="0" applyFont="1" applyFill="1" applyBorder="1" applyAlignment="1">
      <alignment vertical="center" wrapText="1"/>
    </xf>
    <xf numFmtId="14" fontId="6" fillId="10" borderId="16" xfId="0" applyNumberFormat="1" applyFont="1" applyFill="1" applyBorder="1" applyAlignment="1">
      <alignment horizontal="left" vertical="center" wrapText="1"/>
    </xf>
    <xf numFmtId="14" fontId="6" fillId="6" borderId="22" xfId="0" applyNumberFormat="1" applyFont="1" applyFill="1" applyBorder="1" applyAlignment="1">
      <alignment horizontal="left" vertical="center" wrapText="1"/>
    </xf>
    <xf numFmtId="14" fontId="6" fillId="6" borderId="23" xfId="0" applyNumberFormat="1" applyFont="1" applyFill="1" applyBorder="1" applyAlignment="1">
      <alignment horizontal="left" vertical="center" wrapText="1"/>
    </xf>
    <xf numFmtId="0" fontId="2" fillId="6" borderId="23" xfId="0" applyFont="1" applyFill="1" applyBorder="1" applyAlignment="1">
      <alignment vertical="center" wrapText="1"/>
    </xf>
    <xf numFmtId="14" fontId="6" fillId="6" borderId="25" xfId="0" applyNumberFormat="1" applyFont="1" applyFill="1" applyBorder="1" applyAlignment="1">
      <alignment horizontal="left" vertical="center" wrapText="1"/>
    </xf>
    <xf numFmtId="0" fontId="2" fillId="6" borderId="28" xfId="0" applyFont="1" applyFill="1" applyBorder="1" applyAlignment="1">
      <alignment vertical="center" wrapText="1"/>
    </xf>
    <xf numFmtId="44" fontId="6" fillId="6" borderId="28" xfId="1" applyFont="1" applyFill="1" applyBorder="1" applyAlignment="1">
      <alignment horizontal="center" vertical="center" wrapText="1"/>
    </xf>
    <xf numFmtId="14" fontId="6" fillId="6" borderId="25" xfId="0" applyNumberFormat="1" applyFont="1" applyFill="1" applyBorder="1" applyAlignment="1">
      <alignment horizontal="left" wrapText="1"/>
    </xf>
    <xf numFmtId="14" fontId="6" fillId="6" borderId="27" xfId="0" applyNumberFormat="1" applyFont="1" applyFill="1" applyBorder="1" applyAlignment="1">
      <alignment horizontal="left" wrapText="1"/>
    </xf>
    <xf numFmtId="14" fontId="6" fillId="10" borderId="23" xfId="0" applyNumberFormat="1" applyFont="1" applyFill="1" applyBorder="1" applyAlignment="1">
      <alignment horizontal="left" vertical="center" wrapText="1"/>
    </xf>
    <xf numFmtId="0" fontId="0" fillId="7" borderId="26" xfId="0" applyFill="1" applyBorder="1"/>
    <xf numFmtId="44" fontId="6" fillId="10" borderId="23" xfId="1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vertical="center" wrapText="1"/>
    </xf>
    <xf numFmtId="0" fontId="1" fillId="10" borderId="28" xfId="0" applyFont="1" applyFill="1" applyBorder="1" applyAlignment="1">
      <alignment horizontal="left"/>
    </xf>
    <xf numFmtId="0" fontId="0" fillId="10" borderId="24" xfId="0" applyFill="1" applyBorder="1"/>
    <xf numFmtId="44" fontId="6" fillId="10" borderId="1" xfId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0" fillId="10" borderId="26" xfId="0" applyFill="1" applyBorder="1"/>
    <xf numFmtId="44" fontId="6" fillId="10" borderId="28" xfId="1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vertical="center" wrapText="1"/>
    </xf>
    <xf numFmtId="0" fontId="0" fillId="10" borderId="29" xfId="0" applyFill="1" applyBorder="1"/>
    <xf numFmtId="44" fontId="6" fillId="10" borderId="17" xfId="1" applyFont="1" applyFill="1" applyBorder="1" applyAlignment="1">
      <alignment horizontal="left" vertical="center" wrapText="1"/>
    </xf>
    <xf numFmtId="44" fontId="2" fillId="10" borderId="17" xfId="1" applyFont="1" applyFill="1" applyBorder="1" applyAlignment="1">
      <alignment vertical="center" wrapText="1"/>
    </xf>
    <xf numFmtId="0" fontId="0" fillId="10" borderId="53" xfId="0" applyFill="1" applyBorder="1"/>
    <xf numFmtId="44" fontId="2" fillId="10" borderId="17" xfId="1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vertical="center" wrapText="1"/>
    </xf>
    <xf numFmtId="4" fontId="3" fillId="10" borderId="17" xfId="0" applyNumberFormat="1" applyFont="1" applyFill="1" applyBorder="1" applyAlignment="1">
      <alignment vertical="center" wrapText="1"/>
    </xf>
    <xf numFmtId="0" fontId="3" fillId="10" borderId="17" xfId="0" applyFont="1" applyFill="1" applyBorder="1" applyAlignment="1">
      <alignment vertical="center" wrapText="1"/>
    </xf>
    <xf numFmtId="14" fontId="6" fillId="10" borderId="22" xfId="0" applyNumberFormat="1" applyFont="1" applyFill="1" applyBorder="1" applyAlignment="1">
      <alignment horizontal="left" vertical="center" wrapText="1"/>
    </xf>
    <xf numFmtId="14" fontId="6" fillId="10" borderId="36" xfId="0" applyNumberFormat="1" applyFont="1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/>
    </xf>
    <xf numFmtId="0" fontId="0" fillId="6" borderId="21" xfId="0" applyFill="1" applyBorder="1" applyAlignment="1">
      <alignment vertical="center" wrapText="1"/>
    </xf>
    <xf numFmtId="0" fontId="0" fillId="6" borderId="21" xfId="0" applyFill="1" applyBorder="1" applyAlignment="1">
      <alignment vertical="center"/>
    </xf>
    <xf numFmtId="14" fontId="0" fillId="6" borderId="21" xfId="0" applyNumberFormat="1" applyFill="1" applyBorder="1" applyAlignment="1">
      <alignment vertical="center"/>
    </xf>
    <xf numFmtId="0" fontId="0" fillId="6" borderId="21" xfId="0" applyFill="1" applyBorder="1"/>
    <xf numFmtId="14" fontId="0" fillId="0" borderId="21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left"/>
    </xf>
    <xf numFmtId="0" fontId="0" fillId="10" borderId="1" xfId="0" applyFill="1" applyBorder="1" applyAlignment="1">
      <alignment vertical="center"/>
    </xf>
    <xf numFmtId="0" fontId="0" fillId="10" borderId="1" xfId="0" applyFill="1" applyBorder="1"/>
    <xf numFmtId="0" fontId="1" fillId="10" borderId="1" xfId="0" applyFont="1" applyFill="1" applyBorder="1" applyAlignment="1">
      <alignment horizontal="left"/>
    </xf>
    <xf numFmtId="14" fontId="0" fillId="10" borderId="1" xfId="0" applyNumberFormat="1" applyFill="1" applyBorder="1"/>
    <xf numFmtId="14" fontId="1" fillId="10" borderId="1" xfId="0" applyNumberFormat="1" applyFont="1" applyFill="1" applyBorder="1" applyAlignment="1">
      <alignment horizontal="left"/>
    </xf>
    <xf numFmtId="4" fontId="1" fillId="0" borderId="21" xfId="0" applyNumberFormat="1" applyFont="1" applyBorder="1" applyAlignment="1">
      <alignment horizontal="left"/>
    </xf>
    <xf numFmtId="0" fontId="0" fillId="0" borderId="21" xfId="0" applyBorder="1"/>
    <xf numFmtId="0" fontId="0" fillId="0" borderId="54" xfId="0" applyBorder="1"/>
    <xf numFmtId="0" fontId="0" fillId="6" borderId="21" xfId="0" applyFill="1" applyBorder="1" applyAlignment="1">
      <alignment wrapText="1"/>
    </xf>
    <xf numFmtId="0" fontId="0" fillId="10" borderId="23" xfId="0" applyFill="1" applyBorder="1" applyAlignment="1">
      <alignment vertical="center"/>
    </xf>
    <xf numFmtId="0" fontId="0" fillId="10" borderId="23" xfId="0" applyFill="1" applyBorder="1"/>
    <xf numFmtId="14" fontId="0" fillId="10" borderId="23" xfId="0" applyNumberFormat="1" applyFill="1" applyBorder="1"/>
    <xf numFmtId="0" fontId="1" fillId="10" borderId="23" xfId="0" applyFont="1" applyFill="1" applyBorder="1" applyAlignment="1">
      <alignment horizontal="left"/>
    </xf>
    <xf numFmtId="14" fontId="1" fillId="10" borderId="23" xfId="0" applyNumberFormat="1" applyFont="1" applyFill="1" applyBorder="1" applyAlignment="1">
      <alignment horizontal="left"/>
    </xf>
    <xf numFmtId="4" fontId="1" fillId="0" borderId="23" xfId="0" applyNumberFormat="1" applyFont="1" applyBorder="1" applyAlignment="1">
      <alignment horizontal="left"/>
    </xf>
    <xf numFmtId="0" fontId="0" fillId="0" borderId="24" xfId="0" applyBorder="1"/>
    <xf numFmtId="0" fontId="0" fillId="0" borderId="26" xfId="0" applyBorder="1"/>
    <xf numFmtId="14" fontId="0" fillId="10" borderId="28" xfId="0" applyNumberFormat="1" applyFill="1" applyBorder="1"/>
    <xf numFmtId="14" fontId="1" fillId="10" borderId="28" xfId="0" applyNumberFormat="1" applyFont="1" applyFill="1" applyBorder="1" applyAlignment="1">
      <alignment horizontal="left"/>
    </xf>
    <xf numFmtId="4" fontId="1" fillId="0" borderId="28" xfId="0" applyNumberFormat="1" applyFont="1" applyBorder="1" applyAlignment="1">
      <alignment horizontal="left"/>
    </xf>
    <xf numFmtId="0" fontId="0" fillId="0" borderId="29" xfId="0" applyBorder="1"/>
    <xf numFmtId="14" fontId="0" fillId="7" borderId="2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21" xfId="0" applyFill="1" applyBorder="1" applyAlignment="1">
      <alignment vertical="center"/>
    </xf>
    <xf numFmtId="0" fontId="0" fillId="7" borderId="21" xfId="0" applyFill="1" applyBorder="1" applyAlignment="1">
      <alignment vertical="center" wrapText="1"/>
    </xf>
    <xf numFmtId="0" fontId="10" fillId="7" borderId="21" xfId="0" applyFont="1" applyFill="1" applyBorder="1" applyAlignment="1">
      <alignment vertical="center" wrapText="1"/>
    </xf>
    <xf numFmtId="0" fontId="0" fillId="7" borderId="21" xfId="0" applyFill="1" applyBorder="1" applyAlignment="1">
      <alignment horizontal="center" vertical="center"/>
    </xf>
    <xf numFmtId="0" fontId="0" fillId="7" borderId="21" xfId="0" applyFill="1" applyBorder="1"/>
    <xf numFmtId="4" fontId="10" fillId="7" borderId="5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left"/>
    </xf>
    <xf numFmtId="0" fontId="1" fillId="7" borderId="21" xfId="0" applyFont="1" applyFill="1" applyBorder="1" applyAlignment="1">
      <alignment horizontal="left"/>
    </xf>
    <xf numFmtId="0" fontId="0" fillId="7" borderId="35" xfId="0" applyFill="1" applyBorder="1"/>
    <xf numFmtId="14" fontId="0" fillId="10" borderId="23" xfId="0" applyNumberFormat="1" applyFill="1" applyBorder="1" applyAlignment="1">
      <alignment vertical="center"/>
    </xf>
    <xf numFmtId="0" fontId="0" fillId="7" borderId="41" xfId="0" applyFill="1" applyBorder="1" applyAlignment="1">
      <alignment vertical="center"/>
    </xf>
    <xf numFmtId="0" fontId="0" fillId="7" borderId="37" xfId="0" applyFill="1" applyBorder="1" applyAlignment="1">
      <alignment vertical="center"/>
    </xf>
    <xf numFmtId="14" fontId="0" fillId="7" borderId="37" xfId="0" applyNumberFormat="1" applyFill="1" applyBorder="1" applyAlignment="1">
      <alignment vertical="center"/>
    </xf>
    <xf numFmtId="0" fontId="10" fillId="7" borderId="37" xfId="0" applyFont="1" applyFill="1" applyBorder="1" applyAlignment="1">
      <alignment vertical="center" wrapText="1"/>
    </xf>
    <xf numFmtId="0" fontId="0" fillId="7" borderId="37" xfId="0" applyFill="1" applyBorder="1" applyAlignment="1">
      <alignment horizontal="center" vertical="center"/>
    </xf>
    <xf numFmtId="167" fontId="10" fillId="7" borderId="37" xfId="0" applyNumberFormat="1" applyFont="1" applyFill="1" applyBorder="1" applyAlignment="1">
      <alignment vertical="center" wrapText="1"/>
    </xf>
    <xf numFmtId="4" fontId="10" fillId="7" borderId="37" xfId="0" applyNumberFormat="1" applyFont="1" applyFill="1" applyBorder="1" applyAlignment="1">
      <alignment vertical="center" wrapText="1"/>
    </xf>
    <xf numFmtId="0" fontId="1" fillId="7" borderId="37" xfId="0" applyFont="1" applyFill="1" applyBorder="1" applyAlignment="1">
      <alignment horizontal="left"/>
    </xf>
    <xf numFmtId="0" fontId="0" fillId="7" borderId="37" xfId="0" applyFill="1" applyBorder="1"/>
    <xf numFmtId="0" fontId="0" fillId="7" borderId="1" xfId="0" applyFill="1" applyBorder="1" applyAlignment="1">
      <alignment vertical="center"/>
    </xf>
    <xf numFmtId="14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7" fontId="10" fillId="7" borderId="1" xfId="0" applyNumberFormat="1" applyFont="1" applyFill="1" applyBorder="1" applyAlignment="1">
      <alignment vertical="center" wrapText="1"/>
    </xf>
    <xf numFmtId="4" fontId="10" fillId="7" borderId="1" xfId="0" applyNumberFormat="1" applyFont="1" applyFill="1" applyBorder="1" applyAlignment="1">
      <alignment vertical="center" wrapText="1"/>
    </xf>
    <xf numFmtId="3" fontId="0" fillId="7" borderId="1" xfId="0" applyNumberForma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left"/>
    </xf>
    <xf numFmtId="0" fontId="0" fillId="7" borderId="1" xfId="0" applyFill="1" applyBorder="1" applyAlignment="1">
      <alignment vertical="center" wrapText="1"/>
    </xf>
    <xf numFmtId="14" fontId="0" fillId="7" borderId="23" xfId="0" applyNumberFormat="1" applyFill="1" applyBorder="1" applyAlignment="1">
      <alignment vertical="center"/>
    </xf>
    <xf numFmtId="3" fontId="0" fillId="7" borderId="23" xfId="0" applyNumberFormat="1" applyFill="1" applyBorder="1" applyAlignment="1">
      <alignment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4" xfId="0" applyFont="1" applyFill="1" applyBorder="1" applyAlignment="1">
      <alignment horizontal="left" vertical="center"/>
    </xf>
    <xf numFmtId="0" fontId="1" fillId="7" borderId="26" xfId="0" applyFont="1" applyFill="1" applyBorder="1" applyAlignment="1">
      <alignment horizontal="left"/>
    </xf>
    <xf numFmtId="4" fontId="1" fillId="7" borderId="34" xfId="0" applyNumberFormat="1" applyFont="1" applyFill="1" applyBorder="1" applyAlignment="1">
      <alignment horizontal="left"/>
    </xf>
    <xf numFmtId="0" fontId="0" fillId="7" borderId="37" xfId="0" applyFill="1" applyBorder="1" applyAlignment="1">
      <alignment wrapText="1"/>
    </xf>
    <xf numFmtId="0" fontId="0" fillId="7" borderId="37" xfId="0" applyFill="1" applyBorder="1" applyAlignment="1">
      <alignment vertical="center" wrapText="1"/>
    </xf>
    <xf numFmtId="3" fontId="0" fillId="7" borderId="37" xfId="0" applyNumberFormat="1" applyFill="1" applyBorder="1"/>
    <xf numFmtId="0" fontId="1" fillId="7" borderId="47" xfId="0" applyFont="1" applyFill="1" applyBorder="1" applyAlignment="1">
      <alignment horizontal="left"/>
    </xf>
    <xf numFmtId="0" fontId="0" fillId="7" borderId="24" xfId="0" applyFill="1" applyBorder="1" applyAlignment="1">
      <alignment vertical="center"/>
    </xf>
    <xf numFmtId="4" fontId="1" fillId="7" borderId="44" xfId="0" applyNumberFormat="1" applyFont="1" applyFill="1" applyBorder="1" applyAlignment="1">
      <alignment horizontal="left" vertical="center"/>
    </xf>
    <xf numFmtId="4" fontId="1" fillId="7" borderId="55" xfId="0" applyNumberFormat="1" applyFont="1" applyFill="1" applyBorder="1" applyAlignment="1">
      <alignment horizontal="left" vertical="center"/>
    </xf>
    <xf numFmtId="4" fontId="1" fillId="7" borderId="21" xfId="0" applyNumberFormat="1" applyFont="1" applyFill="1" applyBorder="1" applyAlignment="1">
      <alignment horizontal="left" vertical="center"/>
    </xf>
    <xf numFmtId="0" fontId="6" fillId="10" borderId="23" xfId="0" applyFont="1" applyFill="1" applyBorder="1" applyAlignment="1">
      <alignment horizontal="left" vertical="center" wrapText="1"/>
    </xf>
    <xf numFmtId="14" fontId="6" fillId="10" borderId="25" xfId="0" applyNumberFormat="1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left" vertical="center" wrapText="1"/>
    </xf>
    <xf numFmtId="14" fontId="6" fillId="10" borderId="27" xfId="0" applyNumberFormat="1" applyFont="1" applyFill="1" applyBorder="1" applyAlignment="1">
      <alignment horizontal="left" vertical="center" wrapText="1"/>
    </xf>
    <xf numFmtId="0" fontId="6" fillId="10" borderId="28" xfId="0" applyFont="1" applyFill="1" applyBorder="1" applyAlignment="1">
      <alignment horizontal="left" vertical="center" wrapText="1"/>
    </xf>
    <xf numFmtId="14" fontId="6" fillId="10" borderId="28" xfId="0" applyNumberFormat="1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wrapText="1"/>
    </xf>
    <xf numFmtId="14" fontId="6" fillId="6" borderId="21" xfId="0" applyNumberFormat="1" applyFont="1" applyFill="1" applyBorder="1" applyAlignment="1">
      <alignment horizontal="left" vertical="center" wrapText="1"/>
    </xf>
    <xf numFmtId="0" fontId="1" fillId="10" borderId="23" xfId="0" applyFont="1" applyFill="1" applyBorder="1" applyAlignment="1">
      <alignment horizontal="left" vertical="center"/>
    </xf>
    <xf numFmtId="14" fontId="1" fillId="10" borderId="23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14" fontId="1" fillId="10" borderId="1" xfId="0" applyNumberFormat="1" applyFont="1" applyFill="1" applyBorder="1" applyAlignment="1">
      <alignment horizontal="left" vertical="center"/>
    </xf>
    <xf numFmtId="0" fontId="1" fillId="10" borderId="28" xfId="0" applyFont="1" applyFill="1" applyBorder="1" applyAlignment="1">
      <alignment horizontal="left" vertical="center"/>
    </xf>
    <xf numFmtId="14" fontId="1" fillId="10" borderId="28" xfId="0" applyNumberFormat="1" applyFont="1" applyFill="1" applyBorder="1" applyAlignment="1">
      <alignment horizontal="left" vertical="center"/>
    </xf>
    <xf numFmtId="167" fontId="10" fillId="10" borderId="18" xfId="0" applyNumberFormat="1" applyFont="1" applyFill="1" applyBorder="1" applyAlignment="1">
      <alignment vertical="center" wrapText="1"/>
    </xf>
    <xf numFmtId="4" fontId="10" fillId="10" borderId="18" xfId="0" applyNumberFormat="1" applyFont="1" applyFill="1" applyBorder="1" applyAlignment="1">
      <alignment vertical="center" wrapText="1"/>
    </xf>
    <xf numFmtId="0" fontId="0" fillId="10" borderId="41" xfId="0" applyFill="1" applyBorder="1" applyAlignment="1">
      <alignment horizontal="center" vertical="center"/>
    </xf>
    <xf numFmtId="0" fontId="10" fillId="10" borderId="49" xfId="0" applyFont="1" applyFill="1" applyBorder="1" applyAlignment="1">
      <alignment horizontal="center" vertical="center" wrapText="1"/>
    </xf>
    <xf numFmtId="14" fontId="6" fillId="10" borderId="41" xfId="0" applyNumberFormat="1" applyFont="1" applyFill="1" applyBorder="1" applyAlignment="1">
      <alignment horizontal="left" vertical="center" wrapText="1"/>
    </xf>
    <xf numFmtId="44" fontId="6" fillId="10" borderId="37" xfId="1" applyFont="1" applyFill="1" applyBorder="1" applyAlignment="1">
      <alignment horizontal="center" vertical="center" wrapText="1"/>
    </xf>
    <xf numFmtId="44" fontId="2" fillId="10" borderId="37" xfId="1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vertical="center" wrapText="1"/>
    </xf>
    <xf numFmtId="0" fontId="0" fillId="10" borderId="47" xfId="0" applyFill="1" applyBorder="1" applyAlignment="1">
      <alignment wrapText="1"/>
    </xf>
    <xf numFmtId="0" fontId="0" fillId="7" borderId="18" xfId="0" applyFill="1" applyBorder="1" applyAlignment="1">
      <alignment vertical="center"/>
    </xf>
    <xf numFmtId="14" fontId="0" fillId="7" borderId="18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vertical="center" wrapText="1"/>
    </xf>
    <xf numFmtId="0" fontId="10" fillId="7" borderId="18" xfId="0" applyFont="1" applyFill="1" applyBorder="1" applyAlignment="1">
      <alignment vertical="center" wrapText="1"/>
    </xf>
    <xf numFmtId="0" fontId="0" fillId="7" borderId="18" xfId="0" applyFill="1" applyBorder="1" applyAlignment="1">
      <alignment horizontal="center" vertical="center"/>
    </xf>
    <xf numFmtId="167" fontId="10" fillId="7" borderId="18" xfId="0" applyNumberFormat="1" applyFont="1" applyFill="1" applyBorder="1" applyAlignment="1">
      <alignment vertical="center" wrapText="1"/>
    </xf>
    <xf numFmtId="4" fontId="10" fillId="7" borderId="18" xfId="0" applyNumberFormat="1" applyFont="1" applyFill="1" applyBorder="1" applyAlignment="1">
      <alignment vertical="center" wrapText="1"/>
    </xf>
    <xf numFmtId="3" fontId="0" fillId="7" borderId="18" xfId="0" applyNumberFormat="1" applyFill="1" applyBorder="1" applyAlignment="1">
      <alignment vertical="center" wrapText="1"/>
    </xf>
    <xf numFmtId="0" fontId="0" fillId="7" borderId="18" xfId="0" applyFill="1" applyBorder="1"/>
    <xf numFmtId="4" fontId="10" fillId="7" borderId="31" xfId="0" applyNumberFormat="1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left"/>
    </xf>
    <xf numFmtId="0" fontId="1" fillId="7" borderId="18" xfId="0" applyFont="1" applyFill="1" applyBorder="1" applyAlignment="1">
      <alignment horizontal="left"/>
    </xf>
    <xf numFmtId="4" fontId="1" fillId="7" borderId="18" xfId="0" applyNumberFormat="1" applyFont="1" applyFill="1" applyBorder="1" applyAlignment="1">
      <alignment horizontal="left" vertical="center"/>
    </xf>
    <xf numFmtId="0" fontId="0" fillId="7" borderId="56" xfId="0" applyFill="1" applyBorder="1"/>
    <xf numFmtId="0" fontId="0" fillId="11" borderId="16" xfId="0" applyFill="1" applyBorder="1" applyAlignment="1">
      <alignment horizontal="center" vertical="center"/>
    </xf>
    <xf numFmtId="0" fontId="0" fillId="10" borderId="17" xfId="0" applyFill="1" applyBorder="1" applyAlignment="1">
      <alignment vertical="center" wrapText="1"/>
    </xf>
    <xf numFmtId="14" fontId="0" fillId="10" borderId="17" xfId="0" applyNumberForma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7" xfId="0" applyFill="1" applyBorder="1"/>
    <xf numFmtId="14" fontId="0" fillId="10" borderId="17" xfId="0" applyNumberFormat="1" applyFill="1" applyBorder="1" applyAlignment="1">
      <alignment vertical="center"/>
    </xf>
    <xf numFmtId="0" fontId="1" fillId="10" borderId="16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/>
    </xf>
    <xf numFmtId="4" fontId="1" fillId="10" borderId="17" xfId="0" applyNumberFormat="1" applyFont="1" applyFill="1" applyBorder="1" applyAlignment="1">
      <alignment horizontal="left"/>
    </xf>
    <xf numFmtId="0" fontId="0" fillId="10" borderId="53" xfId="0" applyFill="1" applyBorder="1" applyAlignment="1">
      <alignment wrapText="1"/>
    </xf>
    <xf numFmtId="14" fontId="6" fillId="6" borderId="46" xfId="0" applyNumberFormat="1" applyFont="1" applyFill="1" applyBorder="1" applyAlignment="1">
      <alignment horizontal="left" vertical="center" wrapText="1"/>
    </xf>
    <xf numFmtId="0" fontId="6" fillId="6" borderId="21" xfId="0" applyFont="1" applyFill="1" applyBorder="1" applyAlignment="1">
      <alignment horizontal="left" wrapText="1"/>
    </xf>
    <xf numFmtId="44" fontId="2" fillId="6" borderId="21" xfId="1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vertical="center" wrapText="1"/>
    </xf>
    <xf numFmtId="0" fontId="0" fillId="6" borderId="35" xfId="0" applyFill="1" applyBorder="1"/>
    <xf numFmtId="14" fontId="6" fillId="6" borderId="32" xfId="0" applyNumberFormat="1" applyFont="1" applyFill="1" applyBorder="1" applyAlignment="1">
      <alignment horizontal="left" wrapText="1"/>
    </xf>
    <xf numFmtId="14" fontId="6" fillId="6" borderId="18" xfId="0" applyNumberFormat="1" applyFont="1" applyFill="1" applyBorder="1" applyAlignment="1">
      <alignment horizontal="left" wrapText="1"/>
    </xf>
    <xf numFmtId="44" fontId="6" fillId="6" borderId="18" xfId="1" applyFont="1" applyFill="1" applyBorder="1" applyAlignment="1">
      <alignment horizontal="center" vertical="center" wrapText="1"/>
    </xf>
    <xf numFmtId="44" fontId="2" fillId="6" borderId="18" xfId="1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vertical="center" wrapText="1"/>
    </xf>
    <xf numFmtId="0" fontId="0" fillId="6" borderId="56" xfId="0" applyFill="1" applyBorder="1"/>
    <xf numFmtId="0" fontId="0" fillId="7" borderId="0" xfId="0" applyFill="1" applyAlignment="1">
      <alignment vertical="center"/>
    </xf>
    <xf numFmtId="167" fontId="10" fillId="7" borderId="21" xfId="0" applyNumberFormat="1" applyFont="1" applyFill="1" applyBorder="1" applyAlignment="1">
      <alignment vertical="center" wrapText="1"/>
    </xf>
    <xf numFmtId="4" fontId="10" fillId="7" borderId="21" xfId="0" applyNumberFormat="1" applyFont="1" applyFill="1" applyBorder="1" applyAlignment="1">
      <alignment vertical="center" wrapText="1"/>
    </xf>
    <xf numFmtId="3" fontId="0" fillId="7" borderId="21" xfId="0" applyNumberFormat="1" applyFill="1" applyBorder="1"/>
    <xf numFmtId="0" fontId="1" fillId="7" borderId="35" xfId="0" applyFont="1" applyFill="1" applyBorder="1" applyAlignment="1">
      <alignment horizontal="left"/>
    </xf>
    <xf numFmtId="4" fontId="1" fillId="7" borderId="55" xfId="0" applyNumberFormat="1" applyFont="1" applyFill="1" applyBorder="1" applyAlignment="1">
      <alignment horizontal="left"/>
    </xf>
    <xf numFmtId="4" fontId="1" fillId="7" borderId="1" xfId="0" applyNumberFormat="1" applyFont="1" applyFill="1" applyBorder="1" applyAlignment="1">
      <alignment horizontal="left"/>
    </xf>
    <xf numFmtId="14" fontId="0" fillId="7" borderId="21" xfId="0" applyNumberFormat="1" applyFill="1" applyBorder="1" applyAlignment="1">
      <alignment vertical="center"/>
    </xf>
    <xf numFmtId="3" fontId="0" fillId="7" borderId="21" xfId="0" applyNumberFormat="1" applyFill="1" applyBorder="1" applyAlignment="1">
      <alignment vertical="center"/>
    </xf>
    <xf numFmtId="0" fontId="1" fillId="7" borderId="21" xfId="0" applyFont="1" applyFill="1" applyBorder="1" applyAlignment="1">
      <alignment horizontal="left" vertical="center"/>
    </xf>
    <xf numFmtId="3" fontId="0" fillId="7" borderId="1" xfId="0" applyNumberForma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4" fontId="1" fillId="7" borderId="1" xfId="0" applyNumberFormat="1" applyFont="1" applyFill="1" applyBorder="1" applyAlignment="1">
      <alignment horizontal="left" vertical="center"/>
    </xf>
    <xf numFmtId="0" fontId="0" fillId="10" borderId="51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5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4" fontId="1" fillId="10" borderId="1" xfId="0" applyNumberFormat="1" applyFont="1" applyFill="1" applyBorder="1" applyAlignment="1">
      <alignment horizontal="left"/>
    </xf>
    <xf numFmtId="0" fontId="0" fillId="10" borderId="37" xfId="0" applyFill="1" applyBorder="1" applyAlignment="1">
      <alignment wrapText="1"/>
    </xf>
    <xf numFmtId="0" fontId="0" fillId="10" borderId="37" xfId="0" applyFill="1" applyBorder="1" applyAlignment="1">
      <alignment vertical="center"/>
    </xf>
    <xf numFmtId="0" fontId="0" fillId="10" borderId="37" xfId="0" applyFill="1" applyBorder="1" applyAlignment="1">
      <alignment horizontal="center" vertical="center"/>
    </xf>
    <xf numFmtId="0" fontId="0" fillId="10" borderId="37" xfId="0" applyFill="1" applyBorder="1"/>
    <xf numFmtId="0" fontId="0" fillId="10" borderId="37" xfId="0" applyFill="1" applyBorder="1" applyAlignment="1">
      <alignment horizontal="center" vertical="center" wrapText="1"/>
    </xf>
    <xf numFmtId="4" fontId="1" fillId="10" borderId="55" xfId="0" applyNumberFormat="1" applyFont="1" applyFill="1" applyBorder="1" applyAlignment="1">
      <alignment horizontal="left" vertical="center"/>
    </xf>
    <xf numFmtId="0" fontId="0" fillId="10" borderId="1" xfId="0" applyFill="1" applyBorder="1" applyAlignment="1">
      <alignment vertical="top" wrapText="1"/>
    </xf>
    <xf numFmtId="0" fontId="0" fillId="7" borderId="2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1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4" fontId="1" fillId="6" borderId="1" xfId="0" applyNumberFormat="1" applyFont="1" applyFill="1" applyBorder="1" applyAlignment="1">
      <alignment horizontal="left"/>
    </xf>
    <xf numFmtId="0" fontId="0" fillId="10" borderId="1" xfId="0" applyFill="1" applyBorder="1" applyAlignment="1">
      <alignment wrapText="1"/>
    </xf>
    <xf numFmtId="0" fontId="10" fillId="7" borderId="1" xfId="0" applyFont="1" applyFill="1" applyBorder="1" applyAlignment="1">
      <alignment vertical="center" wrapText="1"/>
    </xf>
    <xf numFmtId="4" fontId="10" fillId="12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14" fontId="0" fillId="7" borderId="1" xfId="0" applyNumberFormat="1" applyFill="1" applyBorder="1" applyAlignment="1">
      <alignment horizontal="center" vertical="center"/>
    </xf>
    <xf numFmtId="0" fontId="0" fillId="6" borderId="41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14" fontId="0" fillId="6" borderId="37" xfId="0" applyNumberFormat="1" applyFill="1" applyBorder="1" applyAlignment="1">
      <alignment vertical="center"/>
    </xf>
    <xf numFmtId="0" fontId="0" fillId="6" borderId="37" xfId="0" applyFill="1" applyBorder="1" applyAlignment="1">
      <alignment horizontal="center" vertical="center"/>
    </xf>
    <xf numFmtId="167" fontId="10" fillId="6" borderId="37" xfId="0" applyNumberFormat="1" applyFont="1" applyFill="1" applyBorder="1" applyAlignment="1">
      <alignment vertical="center" wrapText="1"/>
    </xf>
    <xf numFmtId="4" fontId="10" fillId="6" borderId="37" xfId="0" applyNumberFormat="1" applyFont="1" applyFill="1" applyBorder="1" applyAlignment="1">
      <alignment vertical="center" wrapText="1"/>
    </xf>
    <xf numFmtId="0" fontId="1" fillId="6" borderId="37" xfId="0" applyFont="1" applyFill="1" applyBorder="1" applyAlignment="1">
      <alignment horizontal="left"/>
    </xf>
    <xf numFmtId="4" fontId="1" fillId="6" borderId="37" xfId="0" applyNumberFormat="1" applyFont="1" applyFill="1" applyBorder="1" applyAlignment="1">
      <alignment horizontal="left"/>
    </xf>
    <xf numFmtId="0" fontId="0" fillId="6" borderId="37" xfId="0" applyFill="1" applyBorder="1"/>
    <xf numFmtId="0" fontId="0" fillId="6" borderId="47" xfId="0" applyFill="1" applyBorder="1"/>
    <xf numFmtId="14" fontId="0" fillId="7" borderId="1" xfId="0" applyNumberFormat="1" applyFill="1" applyBorder="1" applyAlignment="1">
      <alignment vertical="center" wrapText="1"/>
    </xf>
    <xf numFmtId="4" fontId="10" fillId="6" borderId="51" xfId="0" applyNumberFormat="1" applyFont="1" applyFill="1" applyBorder="1" applyAlignment="1">
      <alignment horizontal="center" vertical="center" wrapText="1"/>
    </xf>
    <xf numFmtId="4" fontId="10" fillId="6" borderId="52" xfId="0" applyNumberFormat="1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vertical="top" wrapText="1"/>
    </xf>
    <xf numFmtId="14" fontId="6" fillId="6" borderId="22" xfId="0" applyNumberFormat="1" applyFont="1" applyFill="1" applyBorder="1" applyAlignment="1">
      <alignment horizontal="left" wrapText="1"/>
    </xf>
    <xf numFmtId="44" fontId="6" fillId="6" borderId="23" xfId="1" applyFont="1" applyFill="1" applyBorder="1" applyAlignment="1">
      <alignment horizontal="center" vertical="center" wrapText="1"/>
    </xf>
    <xf numFmtId="4" fontId="10" fillId="10" borderId="30" xfId="0" applyNumberFormat="1" applyFont="1" applyFill="1" applyBorder="1" applyAlignment="1">
      <alignment vertical="center" wrapText="1"/>
    </xf>
    <xf numFmtId="14" fontId="0" fillId="10" borderId="34" xfId="0" applyNumberFormat="1" applyFill="1" applyBorder="1" applyAlignment="1">
      <alignment vertical="center"/>
    </xf>
    <xf numFmtId="14" fontId="0" fillId="10" borderId="37" xfId="0" applyNumberFormat="1" applyFill="1" applyBorder="1" applyAlignment="1">
      <alignment vertical="center"/>
    </xf>
    <xf numFmtId="14" fontId="0" fillId="10" borderId="18" xfId="0" applyNumberFormat="1" applyFill="1" applyBorder="1" applyAlignment="1">
      <alignment vertical="center"/>
    </xf>
    <xf numFmtId="167" fontId="10" fillId="7" borderId="28" xfId="0" applyNumberFormat="1" applyFont="1" applyFill="1" applyBorder="1" applyAlignment="1">
      <alignment vertical="center" wrapText="1"/>
    </xf>
    <xf numFmtId="4" fontId="10" fillId="7" borderId="28" xfId="0" applyNumberFormat="1" applyFont="1" applyFill="1" applyBorder="1" applyAlignment="1">
      <alignment vertical="center" wrapText="1"/>
    </xf>
    <xf numFmtId="3" fontId="0" fillId="7" borderId="28" xfId="0" applyNumberFormat="1" applyFill="1" applyBorder="1" applyAlignment="1">
      <alignment vertical="center" wrapText="1"/>
    </xf>
    <xf numFmtId="166" fontId="0" fillId="7" borderId="1" xfId="0" applyNumberFormat="1" applyFill="1" applyBorder="1"/>
    <xf numFmtId="14" fontId="0" fillId="10" borderId="1" xfId="0" applyNumberForma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167" fontId="0" fillId="10" borderId="1" xfId="0" applyNumberFormat="1" applyFill="1" applyBorder="1"/>
    <xf numFmtId="166" fontId="0" fillId="10" borderId="1" xfId="0" applyNumberFormat="1" applyFill="1" applyBorder="1" applyAlignment="1">
      <alignment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horizontal="center"/>
    </xf>
    <xf numFmtId="14" fontId="2" fillId="6" borderId="44" xfId="0" applyNumberFormat="1" applyFont="1" applyFill="1" applyBorder="1" applyAlignment="1">
      <alignment horizontal="left" vertical="center" wrapText="1"/>
    </xf>
    <xf numFmtId="14" fontId="2" fillId="6" borderId="45" xfId="0" applyNumberFormat="1" applyFont="1" applyFill="1" applyBorder="1" applyAlignment="1">
      <alignment horizontal="left" vertical="center" wrapText="1"/>
    </xf>
    <xf numFmtId="14" fontId="6" fillId="10" borderId="20" xfId="0" applyNumberFormat="1" applyFont="1" applyFill="1" applyBorder="1" applyAlignment="1">
      <alignment horizontal="left" vertical="center" wrapText="1"/>
    </xf>
    <xf numFmtId="14" fontId="6" fillId="6" borderId="44" xfId="0" applyNumberFormat="1" applyFont="1" applyFill="1" applyBorder="1" applyAlignment="1">
      <alignment horizontal="left" vertical="center" wrapText="1"/>
    </xf>
    <xf numFmtId="14" fontId="6" fillId="6" borderId="34" xfId="0" applyNumberFormat="1" applyFont="1" applyFill="1" applyBorder="1" applyAlignment="1">
      <alignment horizontal="left" vertical="center" wrapText="1"/>
    </xf>
    <xf numFmtId="14" fontId="6" fillId="6" borderId="55" xfId="0" applyNumberFormat="1" applyFont="1" applyFill="1" applyBorder="1" applyAlignment="1">
      <alignment horizontal="left" vertical="center" wrapText="1"/>
    </xf>
    <xf numFmtId="14" fontId="6" fillId="10" borderId="44" xfId="0" applyNumberFormat="1" applyFont="1" applyFill="1" applyBorder="1" applyAlignment="1">
      <alignment horizontal="left" vertical="center" wrapText="1"/>
    </xf>
    <xf numFmtId="14" fontId="6" fillId="10" borderId="34" xfId="0" applyNumberFormat="1" applyFont="1" applyFill="1" applyBorder="1" applyAlignment="1">
      <alignment horizontal="left" vertical="center" wrapText="1"/>
    </xf>
    <xf numFmtId="14" fontId="6" fillId="10" borderId="45" xfId="0" applyNumberFormat="1" applyFont="1" applyFill="1" applyBorder="1" applyAlignment="1">
      <alignment horizontal="left" vertical="center" wrapText="1"/>
    </xf>
    <xf numFmtId="14" fontId="6" fillId="6" borderId="57" xfId="0" applyNumberFormat="1" applyFont="1" applyFill="1" applyBorder="1" applyAlignment="1">
      <alignment horizontal="left" wrapText="1"/>
    </xf>
    <xf numFmtId="14" fontId="6" fillId="6" borderId="34" xfId="0" applyNumberFormat="1" applyFont="1" applyFill="1" applyBorder="1" applyAlignment="1">
      <alignment horizontal="left" wrapText="1"/>
    </xf>
    <xf numFmtId="14" fontId="6" fillId="6" borderId="45" xfId="0" applyNumberFormat="1" applyFont="1" applyFill="1" applyBorder="1" applyAlignment="1">
      <alignment horizontal="left" wrapText="1"/>
    </xf>
    <xf numFmtId="14" fontId="6" fillId="6" borderId="44" xfId="0" applyNumberFormat="1" applyFont="1" applyFill="1" applyBorder="1" applyAlignment="1">
      <alignment horizontal="left" wrapText="1"/>
    </xf>
    <xf numFmtId="14" fontId="6" fillId="10" borderId="48" xfId="0" applyNumberFormat="1" applyFont="1" applyFill="1" applyBorder="1" applyAlignment="1">
      <alignment horizontal="left" vertical="center" wrapText="1"/>
    </xf>
    <xf numFmtId="0" fontId="1" fillId="10" borderId="20" xfId="0" applyFont="1" applyFill="1" applyBorder="1" applyAlignment="1">
      <alignment horizontal="left" vertical="center"/>
    </xf>
    <xf numFmtId="0" fontId="1" fillId="7" borderId="57" xfId="0" applyFont="1" applyFill="1" applyBorder="1" applyAlignment="1">
      <alignment horizontal="left"/>
    </xf>
    <xf numFmtId="0" fontId="1" fillId="7" borderId="55" xfId="0" applyFont="1" applyFill="1" applyBorder="1" applyAlignment="1">
      <alignment horizontal="left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3" fontId="0" fillId="0" borderId="0" xfId="0" applyNumberFormat="1" applyAlignment="1">
      <alignment horizontal="center" wrapText="1"/>
    </xf>
    <xf numFmtId="4" fontId="0" fillId="0" borderId="0" xfId="0" applyNumberFormat="1" applyAlignment="1">
      <alignment wrapText="1"/>
    </xf>
    <xf numFmtId="168" fontId="0" fillId="0" borderId="0" xfId="0" applyNumberFormat="1" applyAlignment="1">
      <alignment horizontal="center" wrapText="1"/>
    </xf>
    <xf numFmtId="0" fontId="17" fillId="14" borderId="11" xfId="0" applyFont="1" applyFill="1" applyBorder="1" applyAlignment="1">
      <alignment horizontal="center" wrapText="1"/>
    </xf>
    <xf numFmtId="0" fontId="17" fillId="14" borderId="11" xfId="0" applyFont="1" applyFill="1" applyBorder="1" applyAlignment="1">
      <alignment wrapText="1"/>
    </xf>
    <xf numFmtId="0" fontId="17" fillId="14" borderId="0" xfId="0" applyFont="1" applyFill="1" applyAlignment="1">
      <alignment horizontal="center" wrapText="1"/>
    </xf>
    <xf numFmtId="0" fontId="16" fillId="13" borderId="0" xfId="0" applyFont="1" applyFill="1" applyAlignment="1">
      <alignment horizontal="center"/>
    </xf>
    <xf numFmtId="0" fontId="17" fillId="14" borderId="0" xfId="0" applyFont="1" applyFill="1"/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43" fontId="0" fillId="0" borderId="0" xfId="3" applyFont="1" applyAlignment="1">
      <alignment wrapText="1"/>
    </xf>
    <xf numFmtId="0" fontId="0" fillId="15" borderId="1" xfId="0" applyFill="1" applyBorder="1" applyAlignment="1">
      <alignment vertical="center" wrapText="1"/>
    </xf>
    <xf numFmtId="0" fontId="2" fillId="16" borderId="21" xfId="0" applyFont="1" applyFill="1" applyBorder="1" applyAlignment="1">
      <alignment vertical="center" wrapText="1"/>
    </xf>
    <xf numFmtId="0" fontId="2" fillId="16" borderId="21" xfId="0" applyFont="1" applyFill="1" applyBorder="1" applyAlignment="1">
      <alignment horizontal="center" vertical="center" wrapText="1"/>
    </xf>
    <xf numFmtId="3" fontId="4" fillId="16" borderId="21" xfId="0" applyNumberFormat="1" applyFont="1" applyFill="1" applyBorder="1" applyAlignment="1">
      <alignment vertical="center" wrapText="1"/>
    </xf>
    <xf numFmtId="0" fontId="4" fillId="16" borderId="21" xfId="0" applyFont="1" applyFill="1" applyBorder="1" applyAlignment="1">
      <alignment vertical="center" wrapText="1"/>
    </xf>
    <xf numFmtId="0" fontId="6" fillId="16" borderId="21" xfId="0" applyFont="1" applyFill="1" applyBorder="1" applyAlignment="1">
      <alignment horizontal="left" wrapText="1"/>
    </xf>
    <xf numFmtId="4" fontId="2" fillId="16" borderId="21" xfId="0" applyNumberFormat="1" applyFont="1" applyFill="1" applyBorder="1" applyAlignment="1">
      <alignment horizontal="center" vertical="center" wrapText="1"/>
    </xf>
    <xf numFmtId="0" fontId="6" fillId="16" borderId="21" xfId="0" applyFont="1" applyFill="1" applyBorder="1" applyAlignment="1">
      <alignment horizontal="left" vertical="center" wrapText="1"/>
    </xf>
    <xf numFmtId="0" fontId="0" fillId="16" borderId="0" xfId="0" applyFill="1"/>
    <xf numFmtId="0" fontId="0" fillId="10" borderId="23" xfId="0" applyFill="1" applyBorder="1" applyAlignment="1">
      <alignment vertical="center" textRotation="90" wrapText="1"/>
    </xf>
    <xf numFmtId="0" fontId="0" fillId="10" borderId="22" xfId="0" applyFill="1" applyBorder="1" applyAlignment="1">
      <alignment vertical="center"/>
    </xf>
    <xf numFmtId="14" fontId="20" fillId="10" borderId="1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vertical="center" wrapText="1"/>
    </xf>
    <xf numFmtId="166" fontId="0" fillId="7" borderId="1" xfId="0" applyNumberFormat="1" applyFill="1" applyBorder="1" applyAlignment="1">
      <alignment vertical="center"/>
    </xf>
    <xf numFmtId="0" fontId="0" fillId="7" borderId="21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4" fontId="0" fillId="7" borderId="21" xfId="0" applyNumberFormat="1" applyFill="1" applyBorder="1" applyAlignment="1">
      <alignment horizontal="center" vertical="center"/>
    </xf>
    <xf numFmtId="14" fontId="0" fillId="7" borderId="18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23" xfId="0" applyFill="1" applyBorder="1" applyAlignment="1">
      <alignment horizontal="center" vertical="center" textRotation="90" wrapText="1"/>
    </xf>
    <xf numFmtId="0" fontId="0" fillId="7" borderId="1" xfId="0" applyFill="1" applyBorder="1" applyAlignment="1">
      <alignment horizontal="center" vertical="center" textRotation="90" wrapText="1"/>
    </xf>
    <xf numFmtId="0" fontId="0" fillId="7" borderId="21" xfId="0" applyFill="1" applyBorder="1" applyAlignment="1">
      <alignment horizontal="center" vertical="center" textRotation="90" wrapText="1"/>
    </xf>
    <xf numFmtId="0" fontId="0" fillId="7" borderId="22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textRotation="90" wrapText="1"/>
    </xf>
    <xf numFmtId="0" fontId="0" fillId="6" borderId="23" xfId="0" applyFill="1" applyBorder="1" applyAlignment="1">
      <alignment horizontal="center" vertical="center" textRotation="90" wrapText="1"/>
    </xf>
    <xf numFmtId="0" fontId="0" fillId="6" borderId="1" xfId="0" applyFill="1" applyBorder="1" applyAlignment="1">
      <alignment horizontal="center" vertical="center" textRotation="90" wrapText="1"/>
    </xf>
    <xf numFmtId="0" fontId="0" fillId="6" borderId="28" xfId="0" applyFill="1" applyBorder="1" applyAlignment="1">
      <alignment horizontal="center" vertical="center" textRotation="90" wrapText="1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 textRotation="90" wrapText="1"/>
    </xf>
    <xf numFmtId="0" fontId="0" fillId="10" borderId="1" xfId="0" applyFill="1" applyBorder="1" applyAlignment="1">
      <alignment horizontal="center" vertical="center" textRotation="90" wrapText="1"/>
    </xf>
    <xf numFmtId="0" fontId="0" fillId="10" borderId="28" xfId="0" applyFill="1" applyBorder="1" applyAlignment="1">
      <alignment horizontal="center" vertical="center" textRotation="90" wrapText="1"/>
    </xf>
    <xf numFmtId="0" fontId="0" fillId="10" borderId="22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14" fillId="13" borderId="0" xfId="0" applyFont="1" applyFill="1" applyAlignment="1">
      <alignment horizontal="center" wrapText="1"/>
    </xf>
    <xf numFmtId="0" fontId="0" fillId="6" borderId="22" xfId="0" applyFill="1" applyBorder="1" applyAlignment="1">
      <alignment horizontal="center" vertical="center" textRotation="90" wrapText="1"/>
    </xf>
    <xf numFmtId="0" fontId="0" fillId="6" borderId="46" xfId="0" applyFill="1" applyBorder="1" applyAlignment="1">
      <alignment horizontal="center" vertical="center" textRotation="90" wrapText="1"/>
    </xf>
    <xf numFmtId="0" fontId="0" fillId="6" borderId="25" xfId="0" applyFill="1" applyBorder="1" applyAlignment="1">
      <alignment horizontal="center" vertical="center" textRotation="90" wrapText="1"/>
    </xf>
    <xf numFmtId="0" fontId="0" fillId="6" borderId="41" xfId="0" applyFill="1" applyBorder="1" applyAlignment="1">
      <alignment horizontal="center" vertical="center" textRotation="90" wrapText="1"/>
    </xf>
    <xf numFmtId="0" fontId="0" fillId="6" borderId="43" xfId="0" applyFill="1" applyBorder="1" applyAlignment="1">
      <alignment horizontal="center" vertical="center" textRotation="90" wrapText="1"/>
    </xf>
    <xf numFmtId="0" fontId="0" fillId="6" borderId="42" xfId="0" applyFill="1" applyBorder="1" applyAlignment="1">
      <alignment horizontal="center" vertical="center" textRotation="90" wrapText="1"/>
    </xf>
    <xf numFmtId="0" fontId="0" fillId="6" borderId="15" xfId="0" applyFill="1" applyBorder="1" applyAlignment="1">
      <alignment horizontal="center" vertical="center" textRotation="90" wrapText="1"/>
    </xf>
    <xf numFmtId="0" fontId="0" fillId="6" borderId="14" xfId="0" applyFill="1" applyBorder="1" applyAlignment="1">
      <alignment horizontal="center" vertical="center" textRotation="90" wrapText="1"/>
    </xf>
    <xf numFmtId="0" fontId="0" fillId="6" borderId="13" xfId="0" applyFill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44" fontId="0" fillId="9" borderId="21" xfId="1" applyFont="1" applyFill="1" applyBorder="1" applyAlignment="1">
      <alignment horizontal="center" vertical="center" wrapText="1"/>
    </xf>
    <xf numFmtId="44" fontId="0" fillId="9" borderId="18" xfId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66" fontId="9" fillId="3" borderId="5" xfId="0" applyNumberFormat="1" applyFont="1" applyFill="1" applyBorder="1" applyAlignment="1">
      <alignment horizontal="center" vertical="center"/>
    </xf>
    <xf numFmtId="166" fontId="9" fillId="3" borderId="7" xfId="0" applyNumberFormat="1" applyFont="1" applyFill="1" applyBorder="1" applyAlignment="1">
      <alignment horizontal="center" vertical="center"/>
    </xf>
    <xf numFmtId="166" fontId="9" fillId="3" borderId="6" xfId="0" applyNumberFormat="1" applyFont="1" applyFill="1" applyBorder="1" applyAlignment="1">
      <alignment horizontal="center" vertical="center"/>
    </xf>
    <xf numFmtId="166" fontId="9" fillId="3" borderId="9" xfId="0" applyNumberFormat="1" applyFont="1" applyFill="1" applyBorder="1" applyAlignment="1">
      <alignment horizontal="center" vertical="center"/>
    </xf>
    <xf numFmtId="166" fontId="9" fillId="3" borderId="11" xfId="0" applyNumberFormat="1" applyFont="1" applyFill="1" applyBorder="1" applyAlignment="1">
      <alignment horizontal="center" vertical="center"/>
    </xf>
    <xf numFmtId="166" fontId="9" fillId="3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ParaBirimi" xfId="1" builtinId="4"/>
    <cellStyle name="ParaBirimi 2" xfId="2" xr:uid="{E6F188D8-95EA-43C0-B307-97A22DF70FDC}"/>
    <cellStyle name="Virgül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3AEE4F-D1D9-4AE8-8AEE-AEF26FC9F29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dc228e1-7a77-48aa-a808-63a335c6252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68A0-7C0F-4683-873A-B72B36114FDA}">
  <dimension ref="A1:U50"/>
  <sheetViews>
    <sheetView topLeftCell="H1" workbookViewId="0">
      <pane ySplit="3" topLeftCell="A4" activePane="bottomLeft" state="frozen"/>
      <selection pane="bottomLeft" activeCell="I17" sqref="I17:L20"/>
    </sheetView>
  </sheetViews>
  <sheetFormatPr defaultRowHeight="14.4" x14ac:dyDescent="0.3"/>
  <cols>
    <col min="1" max="1" width="7.21875" style="553" customWidth="1"/>
    <col min="2" max="2" width="43.6640625" style="553" customWidth="1"/>
    <col min="3" max="3" width="9.77734375" style="553" bestFit="1" customWidth="1"/>
    <col min="4" max="4" width="10.5546875" style="553" bestFit="1" customWidth="1"/>
    <col min="5" max="5" width="13.21875" style="553" customWidth="1"/>
    <col min="6" max="6" width="20.33203125" style="553" customWidth="1"/>
    <col min="7" max="7" width="43.6640625" style="553" customWidth="1"/>
    <col min="8" max="8" width="4.6640625" style="553" bestFit="1" customWidth="1"/>
    <col min="9" max="9" width="39.33203125" style="553" customWidth="1"/>
    <col min="10" max="10" width="15.109375" style="553" bestFit="1" customWidth="1"/>
    <col min="11" max="11" width="21.5546875" style="553" bestFit="1" customWidth="1"/>
    <col min="12" max="12" width="17.5546875" style="553" bestFit="1" customWidth="1"/>
    <col min="13" max="13" width="19.21875" style="553" bestFit="1" customWidth="1"/>
    <col min="14" max="14" width="22.33203125" style="553" bestFit="1" customWidth="1"/>
    <col min="15" max="15" width="11.77734375" style="553" bestFit="1" customWidth="1"/>
    <col min="16" max="16" width="12.109375" style="553" customWidth="1"/>
    <col min="17" max="17" width="15.44140625" style="553" bestFit="1" customWidth="1"/>
    <col min="18" max="18" width="11.21875" style="553" bestFit="1" customWidth="1"/>
    <col min="19" max="19" width="20.6640625" customWidth="1"/>
    <col min="20" max="20" width="24" customWidth="1"/>
    <col min="21" max="21" width="19.21875" customWidth="1"/>
  </cols>
  <sheetData>
    <row r="1" spans="1:21" ht="28.05" customHeight="1" x14ac:dyDescent="0.35">
      <c r="A1" s="612" t="s">
        <v>245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</row>
    <row r="3" spans="1:21" ht="29.4" thickBot="1" x14ac:dyDescent="0.35">
      <c r="A3" s="558" t="s">
        <v>134</v>
      </c>
      <c r="B3" s="559" t="s">
        <v>135</v>
      </c>
      <c r="C3" s="559" t="s">
        <v>9</v>
      </c>
      <c r="D3" s="558" t="s">
        <v>11</v>
      </c>
      <c r="E3" s="559" t="s">
        <v>123</v>
      </c>
      <c r="F3" s="559" t="s">
        <v>33</v>
      </c>
      <c r="G3" s="559" t="s">
        <v>0</v>
      </c>
      <c r="H3" s="558" t="s">
        <v>1</v>
      </c>
      <c r="I3" s="559" t="s">
        <v>2</v>
      </c>
      <c r="J3" s="558" t="s">
        <v>126</v>
      </c>
      <c r="K3" s="558" t="s">
        <v>246</v>
      </c>
      <c r="L3" s="558" t="s">
        <v>247</v>
      </c>
      <c r="M3" s="558" t="s">
        <v>248</v>
      </c>
      <c r="N3" s="558" t="s">
        <v>249</v>
      </c>
      <c r="O3" s="558" t="s">
        <v>12</v>
      </c>
      <c r="P3" s="558" t="s">
        <v>13</v>
      </c>
      <c r="Q3" s="560" t="s">
        <v>256</v>
      </c>
      <c r="R3" s="560" t="s">
        <v>257</v>
      </c>
      <c r="T3" s="561" t="s">
        <v>250</v>
      </c>
    </row>
    <row r="4" spans="1:21" ht="28.8" x14ac:dyDescent="0.3">
      <c r="A4" s="553" cm="1">
        <f t="array" ref="A4:A10">IFERROR(_xlfn._xlws.FILTER('SVC GENEL'!A2:A199,('SVC GENEL'!Q2:Q199="KAZANDIK")*(YEAR('SVC GENEL'!D2:D199)=2026)),"")</f>
        <v>13</v>
      </c>
      <c r="B4" s="553" t="str" cm="1">
        <f t="array" ref="B4:B10">IFERROR(_xlfn._xlws.FILTER('SVC GENEL'!B2:B199,('SVC GENEL'!Q2:Q199="KAZANDIK")*(YEAR('SVC GENEL'!D2:D199)=2026)),"")</f>
        <v>MSB 3. KISIM 24 ADET BAKIM VE TİM ARAÇLARI - İŞ GENİŞLETME KAPSAMINDA 350 M Çift Kbin</v>
      </c>
      <c r="C4" s="553" t="str" cm="1">
        <f t="array" ref="C4:C10">IFERROR(_xlfn._xlws.FILTER('SVC GENEL'!C2:C199,('SVC GENEL'!Q2:Q199="KAZANDIK")*(YEAR('SVC GENEL'!D2:D199)=2026)),"")</f>
        <v>Otokoc</v>
      </c>
      <c r="D4" s="554" cm="1">
        <f t="array" ref="D4:D10">IFERROR(_xlfn._xlws.FILTER('SVC GENEL'!D2:D199,('SVC GENEL'!Q2:Q199="KAZANDIK")*(YEAR('SVC GENEL'!D2:D199)=2026)),"")</f>
        <v>46049</v>
      </c>
      <c r="E4" s="553" t="str" cm="1">
        <f t="array" ref="E4:E10">IFERROR(_xlfn._xlws.FILTER('SVC GENEL'!E2:E199,('SVC GENEL'!Q2:Q199="KAZANDIK")*(YEAR('SVC GENEL'!D2:D199)=2026)),"")</f>
        <v>MSB</v>
      </c>
      <c r="F4" s="553" t="str" cm="1">
        <f t="array" ref="F4:F10">IFERROR(_xlfn._xlws.FILTER('SVC GENEL'!F2:F199,('SVC GENEL'!Q2:Q199="KAZANDIK")*(YEAR('SVC GENEL'!D2:D199)=2026)),"")</f>
        <v>MSB</v>
      </c>
      <c r="G4" s="553" t="str" cm="1">
        <f t="array" ref="G4:G10">IFERROR(_xlfn._xlws.FILTER('SVC GENEL'!G2:G199,('SVC GENEL'!Q2:Q199="KAZANDIK")*(YEAR('SVC GENEL'!D2:D199)=2026)),"")</f>
        <v>PERİYODİK BAKIM ARACI 350M Çift Kabin</v>
      </c>
      <c r="H4" s="555" cm="1">
        <f t="array" ref="H4:H10">IFERROR(_xlfn._xlws.FILTER('SVC GENEL'!H2:H199,('SVC GENEL'!Q2:Q199="KAZANDIK")*(YEAR('SVC GENEL'!D2:D199)=2026)),"")</f>
        <v>10</v>
      </c>
      <c r="I4" s="553" t="str" cm="1">
        <f t="array" ref="I4:I10">IFERROR(_xlfn._xlws.FILTER('SVC GENEL'!I2:I199,('SVC GENEL'!Q2:Q199="KAZANDIK")*(YEAR('SVC GENEL'!D2:D199)=2026)),"")</f>
        <v>TEPE LAMBALI VE PROJEKTÖRLÜ</v>
      </c>
      <c r="J4" s="556" cm="1">
        <f t="array" ref="J4:J10">IFERROR(_xlfn._xlws.FILTER('SVC GENEL'!J2:J199,('SVC GENEL'!Q2:Q199="KAZANDIK")*(YEAR('SVC GENEL'!D2:D199)=2026)),"")</f>
        <v>52.11</v>
      </c>
      <c r="K4" s="565" cm="1">
        <f t="array" ref="K4:K10">IFERROR(_xlfn._xlws.FILTER('SVC GENEL'!K2:K199,('SVC GENEL'!Q2:Q199="KAZANDIK")*(YEAR('SVC GENEL'!D2:D199)=2026)),"")</f>
        <v>2226.06025714834</v>
      </c>
      <c r="L4" s="565" cm="1">
        <f t="array" ref="L4:L10">IFERROR(_xlfn._xlws.FILTER('SVC GENEL'!L2:L199,('SVC GENEL'!Q2:Q199="KAZANDIK")*(YEAR('SVC GENEL'!D2:D199)=2026)),"")</f>
        <v>116000</v>
      </c>
      <c r="M4" s="565" cm="1">
        <f t="array" ref="M4:M10">IFERROR(_xlfn._xlws.FILTER('SVC GENEL'!M2:M199,('SVC GENEL'!Q2:Q199="KAZANDIK")*(YEAR('SVC GENEL'!D2:D199)=2026)),"")</f>
        <v>116000</v>
      </c>
      <c r="N4" s="565" cm="1">
        <f t="array" ref="N4:N10">IFERROR(_xlfn._xlws.FILTER('SVC GENEL'!N2:N199,('SVC GENEL'!Q2:Q199="KAZANDIK")*(YEAR('SVC GENEL'!D2:D199)=2026)),"")</f>
        <v>1160000</v>
      </c>
      <c r="O4" s="554" t="e" cm="1" vm="1">
        <f t="array" aca="1" ref="O4" ca="1">IFERROR(_xlfn._xlws.FILTER('SVC GENEL'!P2:P199,('SVC GENEL'!Q2:Q199="KAZANDIK")*(YEAR('SVC GENEL'!D2:D199)=2026)),"")</f>
        <v>#VALUE!</v>
      </c>
      <c r="P4" s="563" t="str" cm="1">
        <f t="array" ref="P4:P10">IFERROR(_xlfn._xlws.FILTER('SVC GENEL'!Q2:Q199,('SVC GENEL'!Q2:Q199="KAZANDIK")*(YEAR('SVC GENEL'!D2:D199)=2026)),"")</f>
        <v>KAZANDIK</v>
      </c>
      <c r="Q4" s="578" cm="1">
        <f t="array" ref="Q4:Q10">IFERROR(_xlfn._xlws.FILTER('SVC GENEL'!R2:R199,('SVC GENEL'!Q2:Q199="KAZANDIK")*(YEAR('SVC GENEL'!D2:D199)=2026)),"")</f>
        <v>46087</v>
      </c>
      <c r="R4" s="557" t="e" cm="1" vm="1">
        <f t="array" aca="1" ref="R4" ca="1">IFERROR(_xlfn._xlws.FILTER('SVC GENEL'!S2:S199,('SVC GENEL'!Q2:Q199="KAZANDIK")*(YEAR('SVC GENEL'!D2:D199)=2026)),"")</f>
        <v>#VALUE!</v>
      </c>
      <c r="T4" s="562" t="s">
        <v>251</v>
      </c>
      <c r="U4" s="533" cm="1">
        <f t="array" ref="U4">SUMPRODUCT(('SVC GENEL'!Q2:Q199="KAZANDIK")*(YEAR('SVC GENEL'!D2:D199)=2026))</f>
        <v>7</v>
      </c>
    </row>
    <row r="5" spans="1:21" ht="28.8" x14ac:dyDescent="0.3">
      <c r="A5" s="553">
        <v>13</v>
      </c>
      <c r="B5" s="553" t="str">
        <v>MSB 3. KISIM 24 ADET BAKIM VE TİM ARAÇLARI - İŞ GENİŞLETME KAPSAMINDA 350 M Çift Kbin</v>
      </c>
      <c r="C5" s="553" t="str">
        <v>Otokoc</v>
      </c>
      <c r="D5" s="553">
        <v>46049</v>
      </c>
      <c r="E5" s="553" t="str">
        <v>MSB</v>
      </c>
      <c r="F5" s="553" t="str">
        <v>MSB</v>
      </c>
      <c r="G5" s="553" t="str">
        <v>YANGIN BAKIM VE HİZMET ARACI 350M Çift Kabin</v>
      </c>
      <c r="H5" s="553">
        <v>4</v>
      </c>
      <c r="I5" s="553" t="str">
        <v>TEPE LAMBALI VE PROJEKTÖRLÜ</v>
      </c>
      <c r="J5" s="553">
        <v>52.11</v>
      </c>
      <c r="K5" s="565">
        <v>2226.06025714834</v>
      </c>
      <c r="L5" s="565">
        <v>116000</v>
      </c>
      <c r="M5" s="565">
        <v>116000</v>
      </c>
      <c r="N5" s="565">
        <v>464000</v>
      </c>
      <c r="O5" s="554" cm="1">
        <f t="array" ref="O5">IF(OR(A5="",INDEX('SVC GENEL'!P:P,MATCH(1,('SVC GENEL'!A:A=A5)*('SVC GENEL'!B:B=B5),0))=0),"",INDEX('SVC GENEL'!P:P,MATCH(1,('SVC GENEL'!A:A=A5)*('SVC GENEL'!B:B=B5),0)))</f>
        <v>46050</v>
      </c>
      <c r="P5" s="564" t="str">
        <v>KAZANDIK</v>
      </c>
      <c r="Q5" s="578">
        <v>46087</v>
      </c>
      <c r="R5" s="554" cm="1">
        <f t="array" ref="R5">IF(OR(A5="",INDEX('SVC GENEL'!S:S,MATCH(1,('SVC GENEL'!A:A=A5)*('SVC GENEL'!B:B=B5),0))=0),"",INDEX('SVC GENEL'!S:S,MATCH(1,('SVC GENEL'!A:A=A5)*('SVC GENEL'!B:B=B5),0)))</f>
        <v>46087</v>
      </c>
      <c r="T5" s="562" t="s">
        <v>252</v>
      </c>
      <c r="U5" s="534" cm="1">
        <f t="array" ref="U5">SUMPRODUCT(('SVC GENEL'!Q2:Q199="KAZANDIK")*(YEAR('SVC GENEL'!D2:D199)=2026)*'SVC GENEL'!H2:H199)</f>
        <v>125</v>
      </c>
    </row>
    <row r="6" spans="1:21" ht="20.399999999999999" customHeight="1" x14ac:dyDescent="0.3">
      <c r="A6" s="553">
        <v>13</v>
      </c>
      <c r="B6" s="553" t="str">
        <v>MSB 3. KISIM 24 ADET BAKIM VE TİM ARAÇLARI - İŞ GENİŞLETME KAPSAMINDA 350 M Çift Kbin</v>
      </c>
      <c r="C6" s="553" t="str">
        <v>Otokoc</v>
      </c>
      <c r="D6" s="553">
        <v>46049</v>
      </c>
      <c r="E6" s="553" t="str">
        <v>MSB</v>
      </c>
      <c r="F6" s="553" t="str">
        <v>MSB</v>
      </c>
      <c r="G6" s="553" t="str">
        <v>GÜVENLİK TİM ARACI 350M Çift Kabin</v>
      </c>
      <c r="H6" s="553">
        <v>5</v>
      </c>
      <c r="I6" s="553" t="str">
        <v>TEPE LAMBALI</v>
      </c>
      <c r="J6" s="553">
        <v>52.11</v>
      </c>
      <c r="K6" s="565">
        <v>1957.397812320092</v>
      </c>
      <c r="L6" s="565">
        <v>102000</v>
      </c>
      <c r="M6" s="565">
        <v>102000</v>
      </c>
      <c r="N6" s="565">
        <v>510000</v>
      </c>
      <c r="O6" s="554" cm="1">
        <f t="array" ref="O6">IF(OR(A6="",INDEX('SVC GENEL'!P:P,MATCH(1,('SVC GENEL'!A:A=A6)*('SVC GENEL'!B:B=B6),0))=0),"",INDEX('SVC GENEL'!P:P,MATCH(1,('SVC GENEL'!A:A=A6)*('SVC GENEL'!B:B=B6),0)))</f>
        <v>46050</v>
      </c>
      <c r="P6" s="564" t="str">
        <v>KAZANDIK</v>
      </c>
      <c r="Q6" s="578">
        <v>46087</v>
      </c>
      <c r="R6" s="554" cm="1">
        <f t="array" ref="R6">IF(OR(A6="",INDEX('SVC GENEL'!S:S,MATCH(1,('SVC GENEL'!A:A=A6)*('SVC GENEL'!B:B=B6),0))=0),"",INDEX('SVC GENEL'!S:S,MATCH(1,('SVC GENEL'!A:A=A6)*('SVC GENEL'!B:B=B6),0)))</f>
        <v>46087</v>
      </c>
      <c r="T6" s="562" t="s">
        <v>253</v>
      </c>
      <c r="U6" s="535" cm="1">
        <f t="array" ref="U6">SUMPRODUCT(('SVC GENEL'!Q2:Q199="KAZANDIK")*(YEAR('SVC GENEL'!D2:D199)=2026)*IFERROR('SVC GENEL'!N2:N199,0))</f>
        <v>28395000</v>
      </c>
    </row>
    <row r="7" spans="1:21" ht="23.4" customHeight="1" x14ac:dyDescent="0.3">
      <c r="A7" s="553">
        <v>13</v>
      </c>
      <c r="B7" s="553" t="str">
        <v>MSB 3. KISIM 24 ADET BAKIM VE TİM ARAÇLARI - İŞ GENİŞLETME KAPSAMINDA 350 M Çift Kbin</v>
      </c>
      <c r="C7" s="553" t="str">
        <v>Otokoc</v>
      </c>
      <c r="D7" s="553">
        <v>46049</v>
      </c>
      <c r="E7" s="553" t="str">
        <v>MSB</v>
      </c>
      <c r="F7" s="553" t="str">
        <v>MSB</v>
      </c>
      <c r="G7" s="553" t="str">
        <v>GÜVENLİK TİM ARACI 350M Çift Kabin</v>
      </c>
      <c r="H7" s="553">
        <v>5</v>
      </c>
      <c r="I7" s="553" t="str">
        <v>PROJEKTÖRLÜ</v>
      </c>
      <c r="J7" s="553">
        <v>52.11</v>
      </c>
      <c r="K7" s="565">
        <v>2014.9683362118597</v>
      </c>
      <c r="L7" s="565">
        <v>105000</v>
      </c>
      <c r="M7" s="565">
        <v>105000</v>
      </c>
      <c r="N7" s="565">
        <v>525000</v>
      </c>
      <c r="O7" s="554" cm="1">
        <f t="array" ref="O7">IF(OR(A7="",INDEX('SVC GENEL'!P:P,MATCH(1,('SVC GENEL'!A:A=A7)*('SVC GENEL'!B:B=B7),0))=0),"",INDEX('SVC GENEL'!P:P,MATCH(1,('SVC GENEL'!A:A=A7)*('SVC GENEL'!B:B=B7),0)))</f>
        <v>46050</v>
      </c>
      <c r="P7" s="564" t="str">
        <v>KAZANDIK</v>
      </c>
      <c r="Q7" s="578">
        <v>46087</v>
      </c>
      <c r="R7" s="554" cm="1">
        <f t="array" ref="R7">IF(OR(A7="",INDEX('SVC GENEL'!S:S,MATCH(1,('SVC GENEL'!A:A=A7)*('SVC GENEL'!B:B=B7),0))=0),"",INDEX('SVC GENEL'!S:S,MATCH(1,('SVC GENEL'!A:A=A7)*('SVC GENEL'!B:B=B7),0)))</f>
        <v>46087</v>
      </c>
    </row>
    <row r="8" spans="1:21" ht="28.8" x14ac:dyDescent="0.3">
      <c r="A8" s="553">
        <v>22</v>
      </c>
      <c r="B8" s="553" t="str">
        <v>JANDARMA TENTELİ 350 L Çift Kabin</v>
      </c>
      <c r="C8" s="553" t="str">
        <v>Otokoc</v>
      </c>
      <c r="D8" s="553">
        <v>46080</v>
      </c>
      <c r="E8" s="553" t="str">
        <v>JANDARMA</v>
      </c>
      <c r="F8" s="553" t="str">
        <v>JANDARMA</v>
      </c>
      <c r="G8" s="553" t="str">
        <v>OYTA ( OPERASYONEL YÜK TAŞIMA ARACI) 350L ÇİFT kabin</v>
      </c>
      <c r="H8" s="553">
        <v>50</v>
      </c>
      <c r="I8" s="553" t="str">
        <v>TENTE + BAŞLIK + TELSİZ HAZ. + İKAZ SİSTEMİ</v>
      </c>
      <c r="J8" s="553">
        <v>51.87</v>
      </c>
      <c r="K8" s="565">
        <v>1927.8966647387701</v>
      </c>
      <c r="L8" s="565">
        <v>135000</v>
      </c>
      <c r="M8" s="565">
        <v>100000</v>
      </c>
      <c r="N8" s="565">
        <v>5000000</v>
      </c>
      <c r="O8" s="554" t="str" cm="1">
        <f t="array" ref="O8">IF(OR(A8="",INDEX('SVC GENEL'!P:P,MATCH(1,('SVC GENEL'!A:A=A8)*('SVC GENEL'!B:B=B8),0))=0),"",INDEX('SVC GENEL'!P:P,MATCH(1,('SVC GENEL'!A:A=A8)*('SVC GENEL'!B:B=B8),0)))</f>
        <v/>
      </c>
      <c r="P8" s="564" t="str">
        <v>KAZANDIK</v>
      </c>
      <c r="Q8" s="578">
        <v>46162</v>
      </c>
      <c r="R8" s="554" cm="1">
        <f t="array" ref="R8">IF(OR(A8="",INDEX('SVC GENEL'!S:S,MATCH(1,('SVC GENEL'!A:A=A8)*('SVC GENEL'!B:B=B8),0))=0),"",INDEX('SVC GENEL'!S:S,MATCH(1,('SVC GENEL'!A:A=A8)*('SVC GENEL'!B:B=B8),0)))</f>
        <v>46153</v>
      </c>
    </row>
    <row r="9" spans="1:21" x14ac:dyDescent="0.3">
      <c r="A9" s="553">
        <v>25</v>
      </c>
      <c r="B9" s="553" t="str">
        <v>CENAZE ARACI</v>
      </c>
      <c r="C9" s="553" t="str">
        <v>Otokoc</v>
      </c>
      <c r="D9" s="553">
        <v>46108</v>
      </c>
      <c r="E9" s="553" t="str">
        <v>DMO</v>
      </c>
      <c r="F9" s="553" t="str">
        <v>AKSARAY BELEDİYESİ</v>
      </c>
      <c r="G9" s="553" t="str">
        <v>CUSTOM - 3 TABUTLUKLU CENAZE ARACI</v>
      </c>
      <c r="H9" s="553">
        <v>1</v>
      </c>
      <c r="I9" s="553" t="str">
        <v xml:space="preserve">3 TABUTLUKLU, KONVEYÖRLÜ, SOĞUTUCULU </v>
      </c>
      <c r="J9" s="553">
        <v>51.3</v>
      </c>
      <c r="K9" s="565">
        <v>6803.1189083820664</v>
      </c>
      <c r="L9" s="565">
        <v>349000</v>
      </c>
      <c r="M9" s="565">
        <v>286000</v>
      </c>
      <c r="N9" s="565">
        <v>286000</v>
      </c>
      <c r="O9" s="554" t="str" cm="1">
        <f t="array" ref="O9">IF(OR(A9="",INDEX('SVC GENEL'!P:P,MATCH(1,('SVC GENEL'!A:A=A9)*('SVC GENEL'!B:B=B9),0))=0),"",INDEX('SVC GENEL'!P:P,MATCH(1,('SVC GENEL'!A:A=A9)*('SVC GENEL'!B:B=B9),0)))</f>
        <v/>
      </c>
      <c r="P9" s="564" t="str">
        <v>KAZANDIK</v>
      </c>
      <c r="Q9" s="578">
        <v>46187</v>
      </c>
      <c r="R9" s="554" t="str" cm="1">
        <f t="array" ref="R9">IF(OR(A9="",INDEX('SVC GENEL'!S:S,MATCH(1,('SVC GENEL'!A:A=A9)*('SVC GENEL'!B:B=B9),0))=0),"",INDEX('SVC GENEL'!S:S,MATCH(1,('SVC GENEL'!A:A=A9)*('SVC GENEL'!B:B=B9),0)))</f>
        <v/>
      </c>
    </row>
    <row r="10" spans="1:21" x14ac:dyDescent="0.3">
      <c r="A10" s="553">
        <v>26</v>
      </c>
      <c r="B10" s="553" t="str">
        <v>OLAY YERİ</v>
      </c>
      <c r="C10" s="553" t="str">
        <v>Otokoc</v>
      </c>
      <c r="D10" s="553">
        <v>46121</v>
      </c>
      <c r="E10" s="553" t="str">
        <v>JANDARMA</v>
      </c>
      <c r="F10" s="553" t="str">
        <v>JANDARMA</v>
      </c>
      <c r="G10" s="553" t="str">
        <v>OLAY YERİ İNCELEME (FORD RANGER)</v>
      </c>
      <c r="H10" s="553">
        <v>50</v>
      </c>
      <c r="I10" s="553" t="str">
        <v>METAL KANOPİLİ</v>
      </c>
      <c r="J10" s="553">
        <v>51.57</v>
      </c>
      <c r="K10" s="565">
        <v>7930.9676168314909</v>
      </c>
      <c r="L10" s="565">
        <v>369000</v>
      </c>
      <c r="M10" s="565">
        <v>409000</v>
      </c>
      <c r="N10" s="565">
        <v>20450000</v>
      </c>
      <c r="O10" s="554" t="str" cm="1">
        <f t="array" ref="O10">IF(OR(A10="",INDEX('SVC GENEL'!P:P,MATCH(1,('SVC GENEL'!A:A=A10)*('SVC GENEL'!B:B=B10),0))=0),"",INDEX('SVC GENEL'!P:P,MATCH(1,('SVC GENEL'!A:A=A10)*('SVC GENEL'!B:B=B10),0)))</f>
        <v/>
      </c>
      <c r="P10" s="564" t="str">
        <v>KAZANDIK</v>
      </c>
      <c r="Q10" s="578">
        <v>46217</v>
      </c>
      <c r="R10" s="554" t="str" cm="1">
        <f t="array" ref="R10">IF(OR(A10="",INDEX('SVC GENEL'!S:S,MATCH(1,('SVC GENEL'!A:A=A10)*('SVC GENEL'!B:B=B10),0))=0),"",INDEX('SVC GENEL'!S:S,MATCH(1,('SVC GENEL'!A:A=A10)*('SVC GENEL'!B:B=B10),0)))</f>
        <v/>
      </c>
    </row>
    <row r="11" spans="1:21" x14ac:dyDescent="0.3">
      <c r="P11" s="564"/>
    </row>
    <row r="12" spans="1:21" x14ac:dyDescent="0.3">
      <c r="P12" s="564"/>
    </row>
    <row r="13" spans="1:21" x14ac:dyDescent="0.3">
      <c r="P13" s="564"/>
    </row>
    <row r="14" spans="1:21" x14ac:dyDescent="0.3">
      <c r="P14" s="564"/>
    </row>
    <row r="15" spans="1:21" x14ac:dyDescent="0.3">
      <c r="P15" s="564"/>
    </row>
    <row r="16" spans="1:21" x14ac:dyDescent="0.3">
      <c r="P16" s="564"/>
    </row>
    <row r="17" spans="16:16" x14ac:dyDescent="0.3">
      <c r="P17" s="564"/>
    </row>
    <row r="18" spans="16:16" x14ac:dyDescent="0.3">
      <c r="P18" s="564"/>
    </row>
    <row r="19" spans="16:16" x14ac:dyDescent="0.3">
      <c r="P19" s="564"/>
    </row>
    <row r="20" spans="16:16" x14ac:dyDescent="0.3">
      <c r="P20" s="564"/>
    </row>
    <row r="21" spans="16:16" x14ac:dyDescent="0.3">
      <c r="P21" s="564"/>
    </row>
    <row r="22" spans="16:16" x14ac:dyDescent="0.3">
      <c r="P22" s="564"/>
    </row>
    <row r="23" spans="16:16" x14ac:dyDescent="0.3">
      <c r="P23" s="564"/>
    </row>
    <row r="24" spans="16:16" x14ac:dyDescent="0.3">
      <c r="P24" s="564"/>
    </row>
    <row r="25" spans="16:16" x14ac:dyDescent="0.3">
      <c r="P25" s="564"/>
    </row>
    <row r="26" spans="16:16" x14ac:dyDescent="0.3">
      <c r="P26" s="564"/>
    </row>
    <row r="27" spans="16:16" x14ac:dyDescent="0.3">
      <c r="P27" s="564"/>
    </row>
    <row r="28" spans="16:16" x14ac:dyDescent="0.3">
      <c r="P28" s="564"/>
    </row>
    <row r="29" spans="16:16" x14ac:dyDescent="0.3">
      <c r="P29" s="564"/>
    </row>
    <row r="30" spans="16:16" x14ac:dyDescent="0.3">
      <c r="P30" s="564"/>
    </row>
    <row r="31" spans="16:16" x14ac:dyDescent="0.3">
      <c r="P31" s="564"/>
    </row>
    <row r="32" spans="16:16" x14ac:dyDescent="0.3">
      <c r="P32" s="564"/>
    </row>
    <row r="33" spans="16:16" x14ac:dyDescent="0.3">
      <c r="P33" s="564"/>
    </row>
    <row r="34" spans="16:16" x14ac:dyDescent="0.3">
      <c r="P34" s="564"/>
    </row>
    <row r="35" spans="16:16" x14ac:dyDescent="0.3">
      <c r="P35" s="564"/>
    </row>
    <row r="36" spans="16:16" x14ac:dyDescent="0.3">
      <c r="P36" s="564"/>
    </row>
    <row r="37" spans="16:16" x14ac:dyDescent="0.3">
      <c r="P37" s="564"/>
    </row>
    <row r="38" spans="16:16" x14ac:dyDescent="0.3">
      <c r="P38" s="564"/>
    </row>
    <row r="39" spans="16:16" x14ac:dyDescent="0.3">
      <c r="P39" s="564"/>
    </row>
    <row r="40" spans="16:16" x14ac:dyDescent="0.3">
      <c r="P40" s="564"/>
    </row>
    <row r="41" spans="16:16" x14ac:dyDescent="0.3">
      <c r="P41" s="564"/>
    </row>
    <row r="42" spans="16:16" x14ac:dyDescent="0.3">
      <c r="P42" s="564"/>
    </row>
    <row r="43" spans="16:16" x14ac:dyDescent="0.3">
      <c r="P43" s="564"/>
    </row>
    <row r="44" spans="16:16" x14ac:dyDescent="0.3">
      <c r="P44" s="564"/>
    </row>
    <row r="45" spans="16:16" x14ac:dyDescent="0.3">
      <c r="P45" s="564"/>
    </row>
    <row r="46" spans="16:16" x14ac:dyDescent="0.3">
      <c r="P46" s="564"/>
    </row>
    <row r="47" spans="16:16" x14ac:dyDescent="0.3">
      <c r="P47" s="564"/>
    </row>
    <row r="48" spans="16:16" x14ac:dyDescent="0.3">
      <c r="P48" s="564"/>
    </row>
    <row r="49" spans="16:16" x14ac:dyDescent="0.3">
      <c r="P49" s="564"/>
    </row>
    <row r="50" spans="16:16" x14ac:dyDescent="0.3">
      <c r="P50" s="564"/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6D0F-DEA5-4D5B-9316-9D639F770169}">
  <sheetPr filterMode="1"/>
  <dimension ref="A1:AB70"/>
  <sheetViews>
    <sheetView tabSelected="1" zoomScale="70" zoomScaleNormal="70" workbookViewId="0">
      <pane ySplit="1" topLeftCell="A60" activePane="bottomLeft" state="frozen"/>
      <selection pane="bottomLeft" activeCell="Q72" sqref="Q72"/>
    </sheetView>
  </sheetViews>
  <sheetFormatPr defaultColWidth="12.88671875" defaultRowHeight="14.4" x14ac:dyDescent="0.3"/>
  <cols>
    <col min="1" max="1" width="5.109375" customWidth="1"/>
    <col min="2" max="2" width="22.5546875" customWidth="1"/>
    <col min="3" max="4" width="12.88671875" style="16"/>
    <col min="5" max="5" width="12.6640625" style="16" customWidth="1"/>
    <col min="6" max="6" width="21.33203125" style="16" bestFit="1" customWidth="1"/>
    <col min="7" max="7" width="25.44140625" style="16" customWidth="1"/>
    <col min="8" max="8" width="12.88671875" style="17"/>
    <col min="9" max="9" width="17.6640625" style="16" customWidth="1"/>
    <col min="10" max="10" width="10.6640625" style="17" customWidth="1"/>
    <col min="11" max="11" width="16.33203125" style="16" bestFit="1" customWidth="1"/>
    <col min="12" max="12" width="15.5546875" style="16" bestFit="1" customWidth="1"/>
    <col min="13" max="13" width="17" style="4" bestFit="1" customWidth="1"/>
    <col min="14" max="14" width="15.6640625" bestFit="1" customWidth="1"/>
    <col min="15" max="15" width="14.88671875" customWidth="1"/>
    <col min="17" max="17" width="15.109375" style="17" customWidth="1"/>
    <col min="18" max="21" width="12.88671875" style="10"/>
    <col min="22" max="22" width="14.33203125" style="10" customWidth="1"/>
    <col min="23" max="23" width="13.109375" style="128" bestFit="1" customWidth="1"/>
    <col min="24" max="24" width="14.33203125" bestFit="1" customWidth="1"/>
    <col min="25" max="26" width="13.109375" bestFit="1" customWidth="1"/>
    <col min="27" max="27" width="16" customWidth="1"/>
  </cols>
  <sheetData>
    <row r="1" spans="1:27" s="574" customFormat="1" ht="43.8" thickBot="1" x14ac:dyDescent="0.35">
      <c r="A1" s="567" t="s">
        <v>134</v>
      </c>
      <c r="B1" s="567" t="s">
        <v>135</v>
      </c>
      <c r="C1" s="567" t="s">
        <v>9</v>
      </c>
      <c r="D1" s="567" t="s">
        <v>11</v>
      </c>
      <c r="E1" s="567" t="s">
        <v>123</v>
      </c>
      <c r="F1" s="567" t="s">
        <v>33</v>
      </c>
      <c r="G1" s="567" t="s">
        <v>0</v>
      </c>
      <c r="H1" s="568" t="s">
        <v>1</v>
      </c>
      <c r="I1" s="567" t="s">
        <v>2</v>
      </c>
      <c r="J1" s="568" t="s">
        <v>126</v>
      </c>
      <c r="K1" s="567" t="s">
        <v>127</v>
      </c>
      <c r="L1" s="567" t="s">
        <v>17</v>
      </c>
      <c r="M1" s="569" t="s">
        <v>18</v>
      </c>
      <c r="N1" s="570" t="s">
        <v>19</v>
      </c>
      <c r="O1" s="570" t="s">
        <v>118</v>
      </c>
      <c r="P1" s="567" t="s">
        <v>12</v>
      </c>
      <c r="Q1" s="568" t="s">
        <v>13</v>
      </c>
      <c r="R1" s="571" t="s">
        <v>255</v>
      </c>
      <c r="S1" s="571" t="s">
        <v>20</v>
      </c>
      <c r="T1" s="571" t="s">
        <v>141</v>
      </c>
      <c r="U1" s="571" t="s">
        <v>132</v>
      </c>
      <c r="V1" s="571" t="s">
        <v>133</v>
      </c>
      <c r="W1" s="572" t="s">
        <v>130</v>
      </c>
      <c r="X1" s="568" t="s">
        <v>131</v>
      </c>
      <c r="Y1" s="567" t="s">
        <v>15</v>
      </c>
      <c r="Z1" s="567" t="s">
        <v>16</v>
      </c>
      <c r="AA1" s="573" t="s">
        <v>140</v>
      </c>
    </row>
    <row r="2" spans="1:27" s="103" customFormat="1" ht="29.4" hidden="1" thickBot="1" x14ac:dyDescent="0.35">
      <c r="A2" s="142">
        <v>1</v>
      </c>
      <c r="B2" s="143" t="s">
        <v>136</v>
      </c>
      <c r="C2" s="120" t="s">
        <v>10</v>
      </c>
      <c r="D2" s="121">
        <v>45651</v>
      </c>
      <c r="E2" s="121" t="s">
        <v>97</v>
      </c>
      <c r="F2" s="120" t="s">
        <v>91</v>
      </c>
      <c r="G2" s="120" t="s">
        <v>92</v>
      </c>
      <c r="H2" s="122">
        <v>1</v>
      </c>
      <c r="I2" s="120" t="s">
        <v>93</v>
      </c>
      <c r="J2" s="122">
        <v>36.78</v>
      </c>
      <c r="K2" s="123">
        <f>M2/J2</f>
        <v>5220.2283849918431</v>
      </c>
      <c r="L2" s="124">
        <v>192000</v>
      </c>
      <c r="M2" s="124">
        <v>192000</v>
      </c>
      <c r="N2" s="124">
        <v>192000</v>
      </c>
      <c r="O2" s="124"/>
      <c r="P2" s="121">
        <v>45651</v>
      </c>
      <c r="Q2" s="275" t="s">
        <v>30</v>
      </c>
      <c r="R2" s="287">
        <v>45753</v>
      </c>
      <c r="S2" s="287"/>
      <c r="T2" s="181">
        <v>45834</v>
      </c>
      <c r="U2" s="145"/>
      <c r="V2" s="145"/>
      <c r="W2" s="324"/>
      <c r="X2" s="147">
        <v>225306</v>
      </c>
      <c r="Y2" s="325"/>
      <c r="Z2" s="325"/>
      <c r="AA2" s="321"/>
    </row>
    <row r="3" spans="1:27" s="103" customFormat="1" ht="28.8" x14ac:dyDescent="0.3">
      <c r="A3" s="594">
        <v>2</v>
      </c>
      <c r="B3" s="596" t="s">
        <v>136</v>
      </c>
      <c r="C3" s="161" t="s">
        <v>10</v>
      </c>
      <c r="D3" s="162">
        <v>45723</v>
      </c>
      <c r="E3" s="161"/>
      <c r="F3" s="161" t="s">
        <v>94</v>
      </c>
      <c r="G3" s="161" t="s">
        <v>92</v>
      </c>
      <c r="H3" s="163">
        <v>1</v>
      </c>
      <c r="I3" s="161" t="s">
        <v>93</v>
      </c>
      <c r="J3" s="163">
        <v>39.51</v>
      </c>
      <c r="K3" s="164">
        <f>M3/J3</f>
        <v>6783.0928878764871</v>
      </c>
      <c r="L3" s="165">
        <v>268000</v>
      </c>
      <c r="M3" s="165">
        <v>268000</v>
      </c>
      <c r="N3" s="165">
        <f t="shared" ref="N3:N4" si="0">H3*M3</f>
        <v>268000</v>
      </c>
      <c r="O3" s="165"/>
      <c r="P3" s="162"/>
      <c r="Q3" s="276" t="s">
        <v>28</v>
      </c>
      <c r="R3" s="288"/>
      <c r="S3" s="536"/>
      <c r="T3" s="289"/>
      <c r="U3" s="289"/>
      <c r="V3" s="289"/>
      <c r="W3" s="290"/>
      <c r="X3" s="291"/>
      <c r="Y3" s="292"/>
      <c r="Z3" s="292"/>
      <c r="AA3" s="262"/>
    </row>
    <row r="4" spans="1:27" s="103" customFormat="1" ht="29.4" thickBot="1" x14ac:dyDescent="0.35">
      <c r="A4" s="595"/>
      <c r="B4" s="597"/>
      <c r="C4" s="169" t="s">
        <v>10</v>
      </c>
      <c r="D4" s="170">
        <v>45723</v>
      </c>
      <c r="E4" s="169"/>
      <c r="F4" s="169" t="s">
        <v>94</v>
      </c>
      <c r="G4" s="169" t="s">
        <v>95</v>
      </c>
      <c r="H4" s="171">
        <v>1</v>
      </c>
      <c r="I4" s="169" t="s">
        <v>96</v>
      </c>
      <c r="J4" s="171">
        <v>39.51</v>
      </c>
      <c r="K4" s="172">
        <f>N4/J4</f>
        <v>6454.0622627182993</v>
      </c>
      <c r="L4" s="173">
        <v>255000</v>
      </c>
      <c r="M4" s="173">
        <v>255000</v>
      </c>
      <c r="N4" s="173">
        <f t="shared" si="0"/>
        <v>255000</v>
      </c>
      <c r="O4" s="173"/>
      <c r="P4" s="170"/>
      <c r="Q4" s="277" t="s">
        <v>28</v>
      </c>
      <c r="R4" s="293"/>
      <c r="S4" s="537"/>
      <c r="T4" s="294"/>
      <c r="U4" s="294"/>
      <c r="V4" s="294"/>
      <c r="W4" s="295"/>
      <c r="X4" s="296"/>
      <c r="Y4" s="297"/>
      <c r="Z4" s="297"/>
      <c r="AA4" s="268"/>
    </row>
    <row r="5" spans="1:27" s="103" customFormat="1" ht="29.4" hidden="1" thickBot="1" x14ac:dyDescent="0.35">
      <c r="A5" s="142">
        <v>3</v>
      </c>
      <c r="B5" s="144" t="s">
        <v>65</v>
      </c>
      <c r="C5" s="120" t="s">
        <v>10</v>
      </c>
      <c r="D5" s="121">
        <v>45754</v>
      </c>
      <c r="E5" s="120" t="s">
        <v>98</v>
      </c>
      <c r="F5" s="120" t="s">
        <v>98</v>
      </c>
      <c r="G5" s="120" t="s">
        <v>99</v>
      </c>
      <c r="H5" s="122">
        <v>100</v>
      </c>
      <c r="I5" s="120" t="s">
        <v>100</v>
      </c>
      <c r="J5" s="122">
        <v>41.79</v>
      </c>
      <c r="K5" s="123">
        <f>M5/J5</f>
        <v>2081.8377602297201</v>
      </c>
      <c r="L5" s="124">
        <v>87000</v>
      </c>
      <c r="M5" s="124">
        <v>87000</v>
      </c>
      <c r="N5" s="124">
        <f t="shared" ref="N5:N27" si="1">H5*M5</f>
        <v>8700000</v>
      </c>
      <c r="O5" s="124">
        <f>H5*X5</f>
        <v>4480000</v>
      </c>
      <c r="P5" s="121">
        <v>45803</v>
      </c>
      <c r="Q5" s="278" t="s">
        <v>30</v>
      </c>
      <c r="R5" s="298">
        <v>45873</v>
      </c>
      <c r="S5" s="298"/>
      <c r="T5" s="181">
        <v>45878</v>
      </c>
      <c r="U5" s="181"/>
      <c r="V5" s="181"/>
      <c r="W5" s="319">
        <v>48050</v>
      </c>
      <c r="X5" s="320">
        <v>44800</v>
      </c>
      <c r="Y5" s="320" t="s">
        <v>128</v>
      </c>
      <c r="Z5" s="320" t="s">
        <v>129</v>
      </c>
      <c r="AA5" s="321"/>
    </row>
    <row r="6" spans="1:27" s="103" customFormat="1" ht="54.6" hidden="1" customHeight="1" thickBot="1" x14ac:dyDescent="0.35">
      <c r="A6" s="142">
        <v>4</v>
      </c>
      <c r="B6" s="144" t="s">
        <v>65</v>
      </c>
      <c r="C6" s="120" t="s">
        <v>10</v>
      </c>
      <c r="D6" s="121">
        <v>45887</v>
      </c>
      <c r="E6" s="120" t="s">
        <v>97</v>
      </c>
      <c r="F6" s="120" t="s">
        <v>98</v>
      </c>
      <c r="G6" s="120" t="s">
        <v>154</v>
      </c>
      <c r="H6" s="122">
        <v>15</v>
      </c>
      <c r="I6" s="120" t="s">
        <v>100</v>
      </c>
      <c r="J6" s="122">
        <v>47.83</v>
      </c>
      <c r="K6" s="123">
        <f t="shared" ref="K6:K27" si="2">M6/J6</f>
        <v>1923.4789880827932</v>
      </c>
      <c r="L6" s="124">
        <v>95000</v>
      </c>
      <c r="M6" s="124">
        <v>92000</v>
      </c>
      <c r="N6" s="124">
        <f t="shared" si="1"/>
        <v>1380000</v>
      </c>
      <c r="O6" s="124">
        <f>X6*H6</f>
        <v>642000</v>
      </c>
      <c r="P6" s="121">
        <v>45911</v>
      </c>
      <c r="Q6" s="279" t="s">
        <v>30</v>
      </c>
      <c r="R6" s="298">
        <v>45986</v>
      </c>
      <c r="S6" s="538"/>
      <c r="T6" s="181">
        <v>46010</v>
      </c>
      <c r="U6" s="159"/>
      <c r="V6" s="159"/>
      <c r="W6" s="322">
        <v>42800</v>
      </c>
      <c r="X6" s="322">
        <v>42800</v>
      </c>
      <c r="Y6" s="322" t="s">
        <v>128</v>
      </c>
      <c r="Z6" s="323" t="s">
        <v>129</v>
      </c>
      <c r="AA6" s="321"/>
    </row>
    <row r="7" spans="1:27" s="103" customFormat="1" x14ac:dyDescent="0.3">
      <c r="A7" s="603">
        <v>5</v>
      </c>
      <c r="B7" s="600" t="s">
        <v>125</v>
      </c>
      <c r="C7" s="161" t="s">
        <v>10</v>
      </c>
      <c r="D7" s="162">
        <v>45917</v>
      </c>
      <c r="E7" s="161"/>
      <c r="F7" s="161" t="s">
        <v>124</v>
      </c>
      <c r="G7" s="161" t="s">
        <v>101</v>
      </c>
      <c r="H7" s="163">
        <v>200</v>
      </c>
      <c r="I7" s="161"/>
      <c r="J7" s="163">
        <v>48.97</v>
      </c>
      <c r="K7" s="164">
        <f>M7/J7</f>
        <v>3165.2031856238514</v>
      </c>
      <c r="L7" s="165">
        <v>155000</v>
      </c>
      <c r="M7" s="165">
        <v>155000</v>
      </c>
      <c r="N7" s="165">
        <f t="shared" si="1"/>
        <v>31000000</v>
      </c>
      <c r="O7" s="165"/>
      <c r="P7" s="161"/>
      <c r="Q7" s="280" t="s">
        <v>28</v>
      </c>
      <c r="R7" s="299"/>
      <c r="S7" s="539"/>
      <c r="T7" s="300"/>
      <c r="U7" s="166"/>
      <c r="V7" s="166"/>
      <c r="W7" s="168"/>
      <c r="X7" s="168"/>
      <c r="Y7" s="168"/>
      <c r="Z7" s="301"/>
      <c r="AA7" s="262"/>
    </row>
    <row r="8" spans="1:27" s="103" customFormat="1" x14ac:dyDescent="0.3">
      <c r="A8" s="604"/>
      <c r="B8" s="601"/>
      <c r="C8" s="133" t="s">
        <v>10</v>
      </c>
      <c r="D8" s="134">
        <v>45917</v>
      </c>
      <c r="E8" s="133"/>
      <c r="F8" s="133" t="s">
        <v>98</v>
      </c>
      <c r="G8" s="133" t="s">
        <v>102</v>
      </c>
      <c r="H8" s="135">
        <v>200</v>
      </c>
      <c r="I8" s="133"/>
      <c r="J8" s="135">
        <v>48.97</v>
      </c>
      <c r="K8" s="136">
        <f>M8/J8</f>
        <v>3165.2031856238514</v>
      </c>
      <c r="L8" s="137">
        <v>155000</v>
      </c>
      <c r="M8" s="137">
        <v>155000</v>
      </c>
      <c r="N8" s="137">
        <f t="shared" si="1"/>
        <v>31000000</v>
      </c>
      <c r="O8" s="137"/>
      <c r="P8" s="133"/>
      <c r="Q8" s="281" t="s">
        <v>28</v>
      </c>
      <c r="R8" s="302"/>
      <c r="S8" s="540"/>
      <c r="T8" s="269"/>
      <c r="U8" s="138"/>
      <c r="V8" s="138"/>
      <c r="W8" s="104"/>
      <c r="X8" s="104"/>
      <c r="Y8" s="104"/>
      <c r="Z8" s="102"/>
      <c r="AA8" s="265"/>
    </row>
    <row r="9" spans="1:27" s="103" customFormat="1" x14ac:dyDescent="0.3">
      <c r="A9" s="604"/>
      <c r="B9" s="601"/>
      <c r="C9" s="133" t="s">
        <v>10</v>
      </c>
      <c r="D9" s="134">
        <v>45917</v>
      </c>
      <c r="E9" s="133"/>
      <c r="F9" s="133" t="s">
        <v>98</v>
      </c>
      <c r="G9" s="133" t="s">
        <v>103</v>
      </c>
      <c r="H9" s="135">
        <v>400</v>
      </c>
      <c r="I9" s="133"/>
      <c r="J9" s="135">
        <v>48.97</v>
      </c>
      <c r="K9" s="136">
        <f t="shared" ref="K9:K13" si="3">M9/J9</f>
        <v>1674.4945885235859</v>
      </c>
      <c r="L9" s="137">
        <v>82000</v>
      </c>
      <c r="M9" s="137">
        <v>82000</v>
      </c>
      <c r="N9" s="137">
        <f t="shared" si="1"/>
        <v>32800000</v>
      </c>
      <c r="O9" s="137"/>
      <c r="P9" s="133"/>
      <c r="Q9" s="281" t="s">
        <v>28</v>
      </c>
      <c r="R9" s="302"/>
      <c r="S9" s="540"/>
      <c r="T9" s="269"/>
      <c r="U9" s="138"/>
      <c r="V9" s="138"/>
      <c r="W9" s="104"/>
      <c r="X9" s="104"/>
      <c r="Y9" s="104"/>
      <c r="Z9" s="102"/>
      <c r="AA9" s="265"/>
    </row>
    <row r="10" spans="1:27" s="103" customFormat="1" x14ac:dyDescent="0.3">
      <c r="A10" s="604"/>
      <c r="B10" s="601"/>
      <c r="C10" s="133" t="s">
        <v>10</v>
      </c>
      <c r="D10" s="134">
        <v>45917</v>
      </c>
      <c r="E10" s="133"/>
      <c r="F10" s="133" t="s">
        <v>105</v>
      </c>
      <c r="G10" s="133" t="s">
        <v>104</v>
      </c>
      <c r="H10" s="135">
        <v>100</v>
      </c>
      <c r="I10" s="133"/>
      <c r="J10" s="135">
        <v>48.97</v>
      </c>
      <c r="K10" s="136">
        <f t="shared" si="3"/>
        <v>326.73065141923627</v>
      </c>
      <c r="L10" s="137">
        <v>16000</v>
      </c>
      <c r="M10" s="137">
        <v>16000</v>
      </c>
      <c r="N10" s="137">
        <f t="shared" si="1"/>
        <v>1600000</v>
      </c>
      <c r="O10" s="137"/>
      <c r="P10" s="133"/>
      <c r="Q10" s="281" t="s">
        <v>28</v>
      </c>
      <c r="R10" s="302"/>
      <c r="S10" s="540"/>
      <c r="T10" s="269"/>
      <c r="U10" s="138"/>
      <c r="V10" s="138"/>
      <c r="W10" s="104"/>
      <c r="X10" s="104"/>
      <c r="Y10" s="104"/>
      <c r="Z10" s="102"/>
      <c r="AA10" s="265"/>
    </row>
    <row r="11" spans="1:27" s="103" customFormat="1" x14ac:dyDescent="0.3">
      <c r="A11" s="604"/>
      <c r="B11" s="601"/>
      <c r="C11" s="133" t="s">
        <v>10</v>
      </c>
      <c r="D11" s="134">
        <v>45917</v>
      </c>
      <c r="E11" s="133"/>
      <c r="F11" s="133" t="s">
        <v>107</v>
      </c>
      <c r="G11" s="133" t="s">
        <v>106</v>
      </c>
      <c r="H11" s="135">
        <v>200</v>
      </c>
      <c r="I11" s="133"/>
      <c r="J11" s="135">
        <v>48.97</v>
      </c>
      <c r="K11" s="136">
        <f t="shared" si="3"/>
        <v>1919.5425770880131</v>
      </c>
      <c r="L11" s="137">
        <v>94000</v>
      </c>
      <c r="M11" s="137">
        <v>94000</v>
      </c>
      <c r="N11" s="137">
        <f t="shared" si="1"/>
        <v>18800000</v>
      </c>
      <c r="O11" s="137"/>
      <c r="P11" s="133"/>
      <c r="Q11" s="281" t="s">
        <v>28</v>
      </c>
      <c r="R11" s="302"/>
      <c r="S11" s="540"/>
      <c r="T11" s="269"/>
      <c r="U11" s="138"/>
      <c r="V11" s="138"/>
      <c r="W11" s="104"/>
      <c r="X11" s="104"/>
      <c r="Y11" s="104"/>
      <c r="Z11" s="102"/>
      <c r="AA11" s="265"/>
    </row>
    <row r="12" spans="1:27" s="103" customFormat="1" x14ac:dyDescent="0.3">
      <c r="A12" s="604"/>
      <c r="B12" s="601"/>
      <c r="C12" s="133" t="s">
        <v>10</v>
      </c>
      <c r="D12" s="134">
        <v>45917</v>
      </c>
      <c r="E12" s="133"/>
      <c r="F12" s="133" t="s">
        <v>108</v>
      </c>
      <c r="G12" s="133" t="s">
        <v>104</v>
      </c>
      <c r="H12" s="135">
        <v>308</v>
      </c>
      <c r="I12" s="133"/>
      <c r="J12" s="135">
        <v>48.97</v>
      </c>
      <c r="K12" s="136">
        <f t="shared" si="3"/>
        <v>1347.7639371043497</v>
      </c>
      <c r="L12" s="137">
        <v>66000</v>
      </c>
      <c r="M12" s="137">
        <v>66000</v>
      </c>
      <c r="N12" s="137">
        <f t="shared" si="1"/>
        <v>20328000</v>
      </c>
      <c r="O12" s="137"/>
      <c r="P12" s="133"/>
      <c r="Q12" s="281" t="s">
        <v>28</v>
      </c>
      <c r="R12" s="302"/>
      <c r="S12" s="540"/>
      <c r="T12" s="269"/>
      <c r="U12" s="138"/>
      <c r="V12" s="138"/>
      <c r="W12" s="104"/>
      <c r="X12" s="104"/>
      <c r="Y12" s="104"/>
      <c r="Z12" s="102"/>
      <c r="AA12" s="265"/>
    </row>
    <row r="13" spans="1:27" s="103" customFormat="1" ht="15" thickBot="1" x14ac:dyDescent="0.35">
      <c r="A13" s="605"/>
      <c r="B13" s="602"/>
      <c r="C13" s="169" t="s">
        <v>10</v>
      </c>
      <c r="D13" s="170">
        <v>45917</v>
      </c>
      <c r="E13" s="169"/>
      <c r="F13" s="169" t="s">
        <v>109</v>
      </c>
      <c r="G13" s="169" t="s">
        <v>104</v>
      </c>
      <c r="H13" s="171">
        <v>192</v>
      </c>
      <c r="I13" s="169"/>
      <c r="J13" s="171">
        <v>48.97</v>
      </c>
      <c r="K13" s="172">
        <f t="shared" si="3"/>
        <v>1347.7639371043497</v>
      </c>
      <c r="L13" s="173">
        <v>66000</v>
      </c>
      <c r="M13" s="173">
        <v>66000</v>
      </c>
      <c r="N13" s="173">
        <f t="shared" si="1"/>
        <v>12672000</v>
      </c>
      <c r="O13" s="173"/>
      <c r="P13" s="169"/>
      <c r="Q13" s="282" t="s">
        <v>28</v>
      </c>
      <c r="R13" s="452"/>
      <c r="S13" s="541"/>
      <c r="T13" s="412"/>
      <c r="U13" s="453"/>
      <c r="V13" s="453"/>
      <c r="W13" s="454"/>
      <c r="X13" s="454"/>
      <c r="Y13" s="454"/>
      <c r="Z13" s="455"/>
      <c r="AA13" s="456"/>
    </row>
    <row r="14" spans="1:27" s="103" customFormat="1" ht="33" hidden="1" customHeight="1" x14ac:dyDescent="0.35">
      <c r="A14" s="609">
        <v>6</v>
      </c>
      <c r="B14" s="606" t="s">
        <v>122</v>
      </c>
      <c r="C14" s="242" t="s">
        <v>10</v>
      </c>
      <c r="D14" s="243">
        <v>45925</v>
      </c>
      <c r="E14" s="242" t="s">
        <v>110</v>
      </c>
      <c r="F14" s="242" t="s">
        <v>110</v>
      </c>
      <c r="G14" s="242" t="s">
        <v>111</v>
      </c>
      <c r="H14" s="244">
        <v>47</v>
      </c>
      <c r="I14" s="242" t="s">
        <v>114</v>
      </c>
      <c r="J14" s="244">
        <v>48.76</v>
      </c>
      <c r="K14" s="245">
        <f t="shared" si="2"/>
        <v>2378.9991796554555</v>
      </c>
      <c r="L14" s="246">
        <v>116000</v>
      </c>
      <c r="M14" s="246">
        <v>116000</v>
      </c>
      <c r="N14" s="246">
        <f t="shared" si="1"/>
        <v>5452000</v>
      </c>
      <c r="O14" s="246">
        <f>X14*H14</f>
        <v>2965484.27</v>
      </c>
      <c r="P14" s="199">
        <v>45931</v>
      </c>
      <c r="Q14" s="283" t="s">
        <v>30</v>
      </c>
      <c r="R14" s="326">
        <v>46009</v>
      </c>
      <c r="S14" s="542"/>
      <c r="T14" s="307">
        <v>46015</v>
      </c>
      <c r="U14" s="404"/>
      <c r="V14" s="307">
        <v>46008</v>
      </c>
      <c r="W14" s="309">
        <v>64043.71</v>
      </c>
      <c r="X14" s="192">
        <v>63095.41</v>
      </c>
      <c r="Y14" s="192" t="s">
        <v>128</v>
      </c>
      <c r="Z14" s="310" t="s">
        <v>129</v>
      </c>
      <c r="AA14" s="312"/>
    </row>
    <row r="15" spans="1:27" s="103" customFormat="1" ht="43.2" hidden="1" customHeight="1" x14ac:dyDescent="0.35">
      <c r="A15" s="610"/>
      <c r="B15" s="607"/>
      <c r="C15" s="239" t="s">
        <v>10</v>
      </c>
      <c r="D15" s="247">
        <v>45925</v>
      </c>
      <c r="E15" s="239" t="s">
        <v>110</v>
      </c>
      <c r="F15" s="239" t="s">
        <v>110</v>
      </c>
      <c r="G15" s="239" t="s">
        <v>112</v>
      </c>
      <c r="H15" s="248">
        <v>24</v>
      </c>
      <c r="I15" s="239" t="s">
        <v>114</v>
      </c>
      <c r="J15" s="248">
        <v>48.76</v>
      </c>
      <c r="K15" s="240">
        <f t="shared" si="2"/>
        <v>2378.9991796554555</v>
      </c>
      <c r="L15" s="241">
        <v>116000</v>
      </c>
      <c r="M15" s="241">
        <v>116000</v>
      </c>
      <c r="N15" s="241">
        <f t="shared" si="1"/>
        <v>2784000</v>
      </c>
      <c r="O15" s="241">
        <f>X15*H15</f>
        <v>1514289.84</v>
      </c>
      <c r="P15" s="247">
        <v>45931</v>
      </c>
      <c r="Q15" s="284" t="s">
        <v>30</v>
      </c>
      <c r="R15" s="405">
        <v>46009</v>
      </c>
      <c r="S15" s="543"/>
      <c r="T15" s="407">
        <v>46015</v>
      </c>
      <c r="U15" s="406"/>
      <c r="V15" s="407">
        <v>46008</v>
      </c>
      <c r="W15" s="313">
        <v>64043.71</v>
      </c>
      <c r="X15" s="194">
        <v>63095.41</v>
      </c>
      <c r="Y15" s="194" t="s">
        <v>128</v>
      </c>
      <c r="Z15" s="314" t="s">
        <v>129</v>
      </c>
      <c r="AA15" s="315"/>
    </row>
    <row r="16" spans="1:27" s="103" customFormat="1" ht="33" hidden="1" customHeight="1" x14ac:dyDescent="0.35">
      <c r="A16" s="610"/>
      <c r="B16" s="607"/>
      <c r="C16" s="239" t="s">
        <v>10</v>
      </c>
      <c r="D16" s="247">
        <v>45925</v>
      </c>
      <c r="E16" s="239" t="s">
        <v>110</v>
      </c>
      <c r="F16" s="239" t="s">
        <v>110</v>
      </c>
      <c r="G16" s="239" t="s">
        <v>113</v>
      </c>
      <c r="H16" s="248">
        <v>25</v>
      </c>
      <c r="I16" s="239" t="s">
        <v>115</v>
      </c>
      <c r="J16" s="248">
        <v>48.76</v>
      </c>
      <c r="K16" s="240">
        <f t="shared" si="2"/>
        <v>2091.8785890073832</v>
      </c>
      <c r="L16" s="241">
        <v>102000</v>
      </c>
      <c r="M16" s="241">
        <v>102000</v>
      </c>
      <c r="N16" s="241">
        <f t="shared" si="1"/>
        <v>2550000</v>
      </c>
      <c r="O16" s="241">
        <f>X16*H16</f>
        <v>1237279.75</v>
      </c>
      <c r="P16" s="247">
        <v>45931</v>
      </c>
      <c r="Q16" s="284" t="s">
        <v>30</v>
      </c>
      <c r="R16" s="405">
        <v>46009</v>
      </c>
      <c r="S16" s="543"/>
      <c r="T16" s="407">
        <v>46015</v>
      </c>
      <c r="U16" s="406"/>
      <c r="V16" s="407">
        <v>46008</v>
      </c>
      <c r="W16" s="313">
        <v>51241.24</v>
      </c>
      <c r="X16" s="194">
        <v>49491.19</v>
      </c>
      <c r="Y16" s="194" t="s">
        <v>128</v>
      </c>
      <c r="Z16" s="314" t="s">
        <v>129</v>
      </c>
      <c r="AA16" s="315"/>
    </row>
    <row r="17" spans="1:27" s="103" customFormat="1" ht="33" hidden="1" customHeight="1" thickBot="1" x14ac:dyDescent="0.35">
      <c r="A17" s="611"/>
      <c r="B17" s="608"/>
      <c r="C17" s="249" t="s">
        <v>10</v>
      </c>
      <c r="D17" s="250">
        <v>45925</v>
      </c>
      <c r="E17" s="249" t="s">
        <v>110</v>
      </c>
      <c r="F17" s="249" t="s">
        <v>110</v>
      </c>
      <c r="G17" s="249" t="s">
        <v>113</v>
      </c>
      <c r="H17" s="251">
        <v>25</v>
      </c>
      <c r="I17" s="249" t="s">
        <v>116</v>
      </c>
      <c r="J17" s="251">
        <v>48.76</v>
      </c>
      <c r="K17" s="252">
        <f t="shared" si="2"/>
        <v>2153.4044298605413</v>
      </c>
      <c r="L17" s="253">
        <v>105000</v>
      </c>
      <c r="M17" s="253">
        <v>105000</v>
      </c>
      <c r="N17" s="253">
        <f t="shared" si="1"/>
        <v>2625000</v>
      </c>
      <c r="O17" s="253">
        <f>X17*H17</f>
        <v>1276754</v>
      </c>
      <c r="P17" s="274">
        <v>45931</v>
      </c>
      <c r="Q17" s="285" t="s">
        <v>30</v>
      </c>
      <c r="R17" s="408">
        <v>46009</v>
      </c>
      <c r="S17" s="544"/>
      <c r="T17" s="410">
        <v>46015</v>
      </c>
      <c r="U17" s="409"/>
      <c r="V17" s="410">
        <v>46008</v>
      </c>
      <c r="W17" s="316">
        <v>52820.21</v>
      </c>
      <c r="X17" s="195">
        <v>51070.16</v>
      </c>
      <c r="Y17" s="195" t="s">
        <v>128</v>
      </c>
      <c r="Z17" s="317" t="s">
        <v>129</v>
      </c>
      <c r="AA17" s="318"/>
    </row>
    <row r="18" spans="1:27" s="103" customFormat="1" ht="28.8" x14ac:dyDescent="0.3">
      <c r="A18" s="603">
        <v>7</v>
      </c>
      <c r="B18" s="600" t="s">
        <v>120</v>
      </c>
      <c r="C18" s="161" t="s">
        <v>10</v>
      </c>
      <c r="D18" s="162">
        <v>45937</v>
      </c>
      <c r="E18" s="161" t="s">
        <v>97</v>
      </c>
      <c r="F18" s="161" t="s">
        <v>119</v>
      </c>
      <c r="G18" s="161" t="s">
        <v>3</v>
      </c>
      <c r="H18" s="163">
        <v>35</v>
      </c>
      <c r="I18" s="161" t="s">
        <v>4</v>
      </c>
      <c r="J18" s="163">
        <v>48.74</v>
      </c>
      <c r="K18" s="164">
        <f t="shared" si="2"/>
        <v>4411.1612638489942</v>
      </c>
      <c r="L18" s="165">
        <v>215000</v>
      </c>
      <c r="M18" s="165">
        <v>215000</v>
      </c>
      <c r="N18" s="260">
        <f>H18*M18</f>
        <v>7525000</v>
      </c>
      <c r="O18" s="165"/>
      <c r="P18" s="161"/>
      <c r="Q18" s="280" t="s">
        <v>28</v>
      </c>
      <c r="R18" s="457"/>
      <c r="S18" s="545"/>
      <c r="T18" s="411"/>
      <c r="U18" s="411"/>
      <c r="V18" s="458"/>
      <c r="W18" s="459"/>
      <c r="X18" s="460"/>
      <c r="Y18" s="460"/>
      <c r="Z18" s="461"/>
      <c r="AA18" s="462"/>
    </row>
    <row r="19" spans="1:27" s="103" customFormat="1" ht="28.8" x14ac:dyDescent="0.3">
      <c r="A19" s="604"/>
      <c r="B19" s="601"/>
      <c r="C19" s="133" t="s">
        <v>10</v>
      </c>
      <c r="D19" s="134">
        <v>45937</v>
      </c>
      <c r="E19" s="133" t="s">
        <v>97</v>
      </c>
      <c r="F19" s="133" t="s">
        <v>119</v>
      </c>
      <c r="G19" s="133" t="s">
        <v>3</v>
      </c>
      <c r="H19" s="135">
        <v>15</v>
      </c>
      <c r="I19" s="133" t="s">
        <v>5</v>
      </c>
      <c r="J19" s="135">
        <v>48.74</v>
      </c>
      <c r="K19" s="136">
        <f t="shared" si="2"/>
        <v>12515.387771850636</v>
      </c>
      <c r="L19" s="137">
        <v>810000</v>
      </c>
      <c r="M19" s="137">
        <v>610000</v>
      </c>
      <c r="N19" s="264">
        <f>H19*M19</f>
        <v>9150000</v>
      </c>
      <c r="O19" s="137"/>
      <c r="P19" s="133"/>
      <c r="Q19" s="281" t="s">
        <v>28</v>
      </c>
      <c r="R19" s="305"/>
      <c r="S19" s="546"/>
      <c r="T19" s="138"/>
      <c r="U19" s="138"/>
      <c r="V19" s="219"/>
      <c r="W19" s="286"/>
      <c r="X19" s="104"/>
      <c r="Y19" s="104"/>
      <c r="Z19" s="102"/>
      <c r="AA19" s="265"/>
    </row>
    <row r="20" spans="1:27" s="103" customFormat="1" ht="28.8" x14ac:dyDescent="0.3">
      <c r="A20" s="604"/>
      <c r="B20" s="601"/>
      <c r="C20" s="133" t="s">
        <v>10</v>
      </c>
      <c r="D20" s="134">
        <v>45937</v>
      </c>
      <c r="E20" s="133" t="s">
        <v>97</v>
      </c>
      <c r="F20" s="133" t="s">
        <v>119</v>
      </c>
      <c r="G20" s="133" t="s">
        <v>6</v>
      </c>
      <c r="H20" s="135">
        <v>65</v>
      </c>
      <c r="I20" s="133" t="s">
        <v>7</v>
      </c>
      <c r="J20" s="135">
        <v>48.74</v>
      </c>
      <c r="K20" s="136">
        <f t="shared" si="2"/>
        <v>2974.9692244562984</v>
      </c>
      <c r="L20" s="137">
        <v>145000</v>
      </c>
      <c r="M20" s="137">
        <v>145000</v>
      </c>
      <c r="N20" s="264">
        <f>H20*M20</f>
        <v>9425000</v>
      </c>
      <c r="O20" s="137"/>
      <c r="P20" s="133"/>
      <c r="Q20" s="281" t="s">
        <v>28</v>
      </c>
      <c r="R20" s="305"/>
      <c r="S20" s="546"/>
      <c r="T20" s="138"/>
      <c r="U20" s="138"/>
      <c r="V20" s="219"/>
      <c r="W20" s="286"/>
      <c r="X20" s="104"/>
      <c r="Y20" s="104"/>
      <c r="Z20" s="102"/>
      <c r="AA20" s="265"/>
    </row>
    <row r="21" spans="1:27" s="103" customFormat="1" ht="29.4" thickBot="1" x14ac:dyDescent="0.35">
      <c r="A21" s="605"/>
      <c r="B21" s="602"/>
      <c r="C21" s="169" t="s">
        <v>10</v>
      </c>
      <c r="D21" s="170">
        <v>45937</v>
      </c>
      <c r="E21" s="169" t="s">
        <v>97</v>
      </c>
      <c r="F21" s="169" t="s">
        <v>119</v>
      </c>
      <c r="G21" s="169" t="s">
        <v>6</v>
      </c>
      <c r="H21" s="171">
        <v>65</v>
      </c>
      <c r="I21" s="169" t="s">
        <v>8</v>
      </c>
      <c r="J21" s="171">
        <v>48.74</v>
      </c>
      <c r="K21" s="172">
        <f t="shared" si="2"/>
        <v>1846.5326220763234</v>
      </c>
      <c r="L21" s="173">
        <v>90000</v>
      </c>
      <c r="M21" s="173">
        <v>90000</v>
      </c>
      <c r="N21" s="266">
        <f>H21*M21</f>
        <v>5850000</v>
      </c>
      <c r="O21" s="173"/>
      <c r="P21" s="169"/>
      <c r="Q21" s="282" t="s">
        <v>28</v>
      </c>
      <c r="R21" s="306"/>
      <c r="S21" s="547"/>
      <c r="T21" s="174"/>
      <c r="U21" s="174"/>
      <c r="V21" s="217"/>
      <c r="W21" s="304"/>
      <c r="X21" s="176"/>
      <c r="Y21" s="176"/>
      <c r="Z21" s="303"/>
      <c r="AA21" s="268"/>
    </row>
    <row r="22" spans="1:27" s="103" customFormat="1" ht="57.6" x14ac:dyDescent="0.3">
      <c r="A22" s="603">
        <v>8</v>
      </c>
      <c r="B22" s="600" t="s">
        <v>161</v>
      </c>
      <c r="C22" s="161" t="s">
        <v>10</v>
      </c>
      <c r="D22" s="162">
        <v>45979</v>
      </c>
      <c r="E22" s="161" t="s">
        <v>98</v>
      </c>
      <c r="F22" s="161"/>
      <c r="G22" s="161" t="s">
        <v>145</v>
      </c>
      <c r="H22" s="163">
        <v>50</v>
      </c>
      <c r="I22" s="518" t="s">
        <v>147</v>
      </c>
      <c r="J22" s="163">
        <v>50.21</v>
      </c>
      <c r="K22" s="164">
        <f t="shared" ref="K22:K23" si="4">L22/J22</f>
        <v>3718.3827922724558</v>
      </c>
      <c r="L22" s="165">
        <v>186700</v>
      </c>
      <c r="M22" s="165"/>
      <c r="N22" s="165">
        <f>H22*L22</f>
        <v>9335000</v>
      </c>
      <c r="O22" s="165"/>
      <c r="P22" s="161"/>
      <c r="Q22" s="516" t="s">
        <v>28</v>
      </c>
      <c r="R22" s="519"/>
      <c r="S22" s="548"/>
      <c r="T22" s="166"/>
      <c r="U22" s="166"/>
      <c r="V22" s="218"/>
      <c r="W22" s="520"/>
      <c r="X22" s="168"/>
      <c r="Y22" s="168"/>
      <c r="Z22" s="301"/>
      <c r="AA22" s="262"/>
    </row>
    <row r="23" spans="1:27" s="103" customFormat="1" ht="43.8" thickBot="1" x14ac:dyDescent="0.35">
      <c r="A23" s="605"/>
      <c r="B23" s="602"/>
      <c r="C23" s="169" t="s">
        <v>10</v>
      </c>
      <c r="D23" s="170">
        <v>45979</v>
      </c>
      <c r="E23" s="169" t="s">
        <v>98</v>
      </c>
      <c r="F23" s="169"/>
      <c r="G23" s="169" t="s">
        <v>145</v>
      </c>
      <c r="H23" s="171">
        <v>1</v>
      </c>
      <c r="I23" s="169" t="s">
        <v>148</v>
      </c>
      <c r="J23" s="171">
        <v>50.21</v>
      </c>
      <c r="K23" s="172">
        <f t="shared" si="4"/>
        <v>1029.6753634734116</v>
      </c>
      <c r="L23" s="173">
        <v>51700</v>
      </c>
      <c r="M23" s="173"/>
      <c r="N23" s="173">
        <f>H23*L23</f>
        <v>51700</v>
      </c>
      <c r="O23" s="173"/>
      <c r="P23" s="169"/>
      <c r="Q23" s="517" t="s">
        <v>28</v>
      </c>
      <c r="R23" s="305"/>
      <c r="S23" s="546"/>
      <c r="T23" s="138"/>
      <c r="U23" s="138"/>
      <c r="V23" s="219"/>
      <c r="W23" s="286"/>
      <c r="X23" s="104"/>
      <c r="Y23" s="104"/>
      <c r="Z23" s="102"/>
      <c r="AA23" s="265"/>
    </row>
    <row r="24" spans="1:27" s="103" customFormat="1" ht="33" customHeight="1" x14ac:dyDescent="0.3">
      <c r="A24" s="603">
        <v>9</v>
      </c>
      <c r="B24" s="600" t="s">
        <v>136</v>
      </c>
      <c r="C24" s="161" t="s">
        <v>10</v>
      </c>
      <c r="D24" s="162">
        <v>45983</v>
      </c>
      <c r="E24" s="161"/>
      <c r="F24" s="161" t="s">
        <v>142</v>
      </c>
      <c r="G24" s="161" t="s">
        <v>92</v>
      </c>
      <c r="H24" s="163">
        <v>2</v>
      </c>
      <c r="I24" s="161" t="s">
        <v>93</v>
      </c>
      <c r="J24" s="163">
        <v>50.21</v>
      </c>
      <c r="K24" s="164">
        <f>M24/J24</f>
        <v>5646.2856004779924</v>
      </c>
      <c r="L24" s="165">
        <v>283500</v>
      </c>
      <c r="M24" s="165">
        <v>283500</v>
      </c>
      <c r="N24" s="165">
        <f t="shared" ref="N24:N25" si="5">H24*M24</f>
        <v>567000</v>
      </c>
      <c r="O24" s="165"/>
      <c r="P24" s="165"/>
      <c r="Q24" s="516" t="s">
        <v>28</v>
      </c>
      <c r="R24" s="305"/>
      <c r="S24" s="546"/>
      <c r="T24" s="138"/>
      <c r="U24" s="138"/>
      <c r="V24" s="219"/>
      <c r="W24" s="286"/>
      <c r="X24" s="104"/>
      <c r="Y24" s="104"/>
      <c r="Z24" s="102"/>
      <c r="AA24" s="265"/>
    </row>
    <row r="25" spans="1:27" s="103" customFormat="1" ht="33" customHeight="1" thickBot="1" x14ac:dyDescent="0.35">
      <c r="A25" s="605"/>
      <c r="B25" s="602"/>
      <c r="C25" s="169" t="s">
        <v>10</v>
      </c>
      <c r="D25" s="170">
        <v>45983</v>
      </c>
      <c r="E25" s="169"/>
      <c r="F25" s="169" t="s">
        <v>143</v>
      </c>
      <c r="G25" s="169" t="s">
        <v>92</v>
      </c>
      <c r="H25" s="171">
        <v>1</v>
      </c>
      <c r="I25" s="169" t="s">
        <v>93</v>
      </c>
      <c r="J25" s="171">
        <v>50.21</v>
      </c>
      <c r="K25" s="172">
        <f>N25/J25</f>
        <v>5646.2856004779924</v>
      </c>
      <c r="L25" s="173">
        <v>283500</v>
      </c>
      <c r="M25" s="173">
        <v>283500</v>
      </c>
      <c r="N25" s="173">
        <f t="shared" si="5"/>
        <v>283500</v>
      </c>
      <c r="O25" s="173"/>
      <c r="P25" s="169"/>
      <c r="Q25" s="517" t="s">
        <v>28</v>
      </c>
      <c r="R25" s="306"/>
      <c r="S25" s="547"/>
      <c r="T25" s="174"/>
      <c r="U25" s="174"/>
      <c r="V25" s="217"/>
      <c r="W25" s="304"/>
      <c r="X25" s="176"/>
      <c r="Y25" s="176"/>
      <c r="Z25" s="303"/>
      <c r="AA25" s="268"/>
    </row>
    <row r="26" spans="1:27" s="103" customFormat="1" ht="51.6" hidden="1" customHeight="1" thickBot="1" x14ac:dyDescent="0.35">
      <c r="A26" s="421">
        <v>10</v>
      </c>
      <c r="B26" s="197" t="s">
        <v>137</v>
      </c>
      <c r="C26" s="198" t="s">
        <v>10</v>
      </c>
      <c r="D26" s="199">
        <v>46007</v>
      </c>
      <c r="E26" s="198" t="s">
        <v>98</v>
      </c>
      <c r="F26" s="198" t="s">
        <v>138</v>
      </c>
      <c r="G26" s="198" t="s">
        <v>150</v>
      </c>
      <c r="H26" s="200">
        <v>12</v>
      </c>
      <c r="I26" s="198" t="s">
        <v>139</v>
      </c>
      <c r="J26" s="200">
        <v>50.2</v>
      </c>
      <c r="K26" s="201">
        <f t="shared" si="2"/>
        <v>3719.1235059760952</v>
      </c>
      <c r="L26" s="202">
        <v>186700</v>
      </c>
      <c r="M26" s="202">
        <v>186700</v>
      </c>
      <c r="N26" s="202">
        <f t="shared" si="1"/>
        <v>2240400</v>
      </c>
      <c r="O26" s="202"/>
      <c r="P26" s="199">
        <v>46007</v>
      </c>
      <c r="Q26" s="422" t="s">
        <v>30</v>
      </c>
      <c r="R26" s="423">
        <v>46015</v>
      </c>
      <c r="S26" s="549"/>
      <c r="T26" s="216">
        <v>45679</v>
      </c>
      <c r="U26" s="178"/>
      <c r="V26" s="216">
        <v>46022</v>
      </c>
      <c r="W26" s="424"/>
      <c r="X26" s="425"/>
      <c r="Y26" s="425"/>
      <c r="Z26" s="426"/>
      <c r="AA26" s="427" t="s">
        <v>153</v>
      </c>
    </row>
    <row r="27" spans="1:27" ht="43.2" customHeight="1" thickBot="1" x14ac:dyDescent="0.35">
      <c r="A27" s="442">
        <v>11</v>
      </c>
      <c r="B27" s="443" t="s">
        <v>137</v>
      </c>
      <c r="C27" s="144" t="s">
        <v>10</v>
      </c>
      <c r="D27" s="444">
        <v>46010</v>
      </c>
      <c r="E27" s="144" t="s">
        <v>98</v>
      </c>
      <c r="F27" s="144"/>
      <c r="G27" s="120" t="s">
        <v>151</v>
      </c>
      <c r="H27" s="445">
        <v>10</v>
      </c>
      <c r="I27" s="120" t="s">
        <v>139</v>
      </c>
      <c r="J27" s="445">
        <v>50.54</v>
      </c>
      <c r="K27" s="123">
        <f t="shared" si="2"/>
        <v>3126.2366442421844</v>
      </c>
      <c r="L27" s="124">
        <v>169000</v>
      </c>
      <c r="M27" s="124">
        <v>158000</v>
      </c>
      <c r="N27" s="124">
        <f t="shared" si="1"/>
        <v>1580000</v>
      </c>
      <c r="O27" s="446"/>
      <c r="P27" s="447">
        <v>46022</v>
      </c>
      <c r="Q27" s="275" t="s">
        <v>30</v>
      </c>
      <c r="R27" s="448"/>
      <c r="S27" s="550"/>
      <c r="T27" s="449"/>
      <c r="U27" s="449"/>
      <c r="V27" s="449"/>
      <c r="W27" s="450"/>
      <c r="X27" s="446"/>
      <c r="Y27" s="446"/>
      <c r="Z27" s="446"/>
      <c r="AA27" s="451" t="s">
        <v>152</v>
      </c>
    </row>
    <row r="28" spans="1:27" ht="100.8" x14ac:dyDescent="0.3">
      <c r="A28" s="598">
        <v>12</v>
      </c>
      <c r="B28" s="599" t="s">
        <v>162</v>
      </c>
      <c r="C28" s="428" t="s">
        <v>10</v>
      </c>
      <c r="D28" s="429">
        <v>46035</v>
      </c>
      <c r="E28" s="430" t="s">
        <v>160</v>
      </c>
      <c r="F28" s="428"/>
      <c r="G28" s="431" t="s">
        <v>155</v>
      </c>
      <c r="H28" s="432">
        <v>1000</v>
      </c>
      <c r="I28" s="431" t="s">
        <v>157</v>
      </c>
      <c r="J28" s="432">
        <v>50.39</v>
      </c>
      <c r="K28" s="433">
        <f>L28/J28</f>
        <v>4468.4858106767215</v>
      </c>
      <c r="L28" s="434">
        <v>225167</v>
      </c>
      <c r="M28" s="435" t="s">
        <v>180</v>
      </c>
      <c r="N28" s="434">
        <f>H28*L28</f>
        <v>225167000</v>
      </c>
      <c r="O28" s="436"/>
      <c r="P28" s="436"/>
      <c r="Q28" s="437" t="s">
        <v>32</v>
      </c>
      <c r="R28" s="438"/>
      <c r="S28" s="551"/>
      <c r="T28" s="439"/>
      <c r="U28" s="439"/>
      <c r="V28" s="439"/>
      <c r="W28" s="440">
        <v>117818</v>
      </c>
      <c r="X28" s="436"/>
      <c r="Y28" s="436"/>
      <c r="Z28" s="436"/>
      <c r="AA28" s="441"/>
    </row>
    <row r="29" spans="1:27" ht="72.599999999999994" thickBot="1" x14ac:dyDescent="0.35">
      <c r="A29" s="593"/>
      <c r="B29" s="590"/>
      <c r="C29" s="362" t="s">
        <v>10</v>
      </c>
      <c r="D29" s="358">
        <v>46035</v>
      </c>
      <c r="E29" s="363" t="s">
        <v>160</v>
      </c>
      <c r="F29" s="362"/>
      <c r="G29" s="364" t="s">
        <v>156</v>
      </c>
      <c r="H29" s="365">
        <v>500</v>
      </c>
      <c r="I29" s="364" t="s">
        <v>158</v>
      </c>
      <c r="J29" s="365">
        <v>50.39</v>
      </c>
      <c r="K29" s="525">
        <f>L29/J29</f>
        <v>1786.0686644175432</v>
      </c>
      <c r="L29" s="526">
        <v>90000</v>
      </c>
      <c r="M29" s="527" t="s">
        <v>180</v>
      </c>
      <c r="N29" s="526">
        <f>H29*L29</f>
        <v>45000000</v>
      </c>
      <c r="O29" s="366"/>
      <c r="P29" s="366"/>
      <c r="Q29" s="367" t="s">
        <v>32</v>
      </c>
      <c r="R29" s="368"/>
      <c r="S29" s="552"/>
      <c r="T29" s="369"/>
      <c r="U29" s="369"/>
      <c r="V29" s="369"/>
      <c r="W29" s="403">
        <v>102510</v>
      </c>
      <c r="X29" s="366"/>
      <c r="Y29" s="366"/>
      <c r="Z29" s="366"/>
      <c r="AA29" s="370"/>
    </row>
    <row r="30" spans="1:27" ht="42.6" customHeight="1" thickBot="1" x14ac:dyDescent="0.35">
      <c r="A30" s="576">
        <v>13</v>
      </c>
      <c r="B30" s="575" t="s">
        <v>176</v>
      </c>
      <c r="C30" s="242" t="s">
        <v>10</v>
      </c>
      <c r="D30" s="371">
        <v>46049</v>
      </c>
      <c r="E30" s="242" t="s">
        <v>110</v>
      </c>
      <c r="F30" s="242" t="s">
        <v>110</v>
      </c>
      <c r="G30" s="242" t="s">
        <v>177</v>
      </c>
      <c r="H30" s="244">
        <v>10</v>
      </c>
      <c r="I30" s="242" t="s">
        <v>114</v>
      </c>
      <c r="J30" s="360">
        <v>52.11</v>
      </c>
      <c r="K30" s="419">
        <f t="shared" ref="K30:K33" si="6">M30/J30</f>
        <v>2226.06025714834</v>
      </c>
      <c r="L30" s="420">
        <v>116000</v>
      </c>
      <c r="M30" s="420">
        <v>116000</v>
      </c>
      <c r="N30" s="420">
        <f>H30*M30</f>
        <v>1160000</v>
      </c>
      <c r="O30" s="523"/>
      <c r="P30" s="371">
        <v>46050</v>
      </c>
      <c r="Q30" s="476" t="s">
        <v>30</v>
      </c>
      <c r="R30" s="523">
        <v>46087</v>
      </c>
      <c r="S30" s="523">
        <v>46087</v>
      </c>
      <c r="T30" s="413"/>
      <c r="U30" s="414">
        <v>46096</v>
      </c>
      <c r="V30" s="349"/>
      <c r="W30" s="351"/>
      <c r="X30" s="224"/>
      <c r="Y30" s="224"/>
      <c r="Z30" s="224"/>
      <c r="AA30" s="352"/>
    </row>
    <row r="31" spans="1:27" ht="42.6" customHeight="1" thickBot="1" x14ac:dyDescent="0.35">
      <c r="A31" s="576">
        <v>13</v>
      </c>
      <c r="B31" s="575" t="s">
        <v>176</v>
      </c>
      <c r="C31" s="239" t="s">
        <v>10</v>
      </c>
      <c r="D31" s="359">
        <v>46049</v>
      </c>
      <c r="E31" s="239" t="s">
        <v>110</v>
      </c>
      <c r="F31" s="239" t="s">
        <v>110</v>
      </c>
      <c r="G31" s="239" t="s">
        <v>178</v>
      </c>
      <c r="H31" s="248">
        <v>4</v>
      </c>
      <c r="I31" s="239" t="s">
        <v>114</v>
      </c>
      <c r="J31" s="361">
        <v>52.11</v>
      </c>
      <c r="K31" s="240">
        <f t="shared" si="6"/>
        <v>2226.06025714834</v>
      </c>
      <c r="L31" s="241">
        <v>116000</v>
      </c>
      <c r="M31" s="241">
        <v>116000</v>
      </c>
      <c r="N31" s="521">
        <f t="shared" ref="N31:N33" si="7">H31*M31</f>
        <v>464000</v>
      </c>
      <c r="O31" s="359"/>
      <c r="P31" s="522">
        <v>46050</v>
      </c>
      <c r="Q31" s="477" t="s">
        <v>30</v>
      </c>
      <c r="R31" s="359">
        <v>46087</v>
      </c>
      <c r="S31" s="359">
        <v>46087</v>
      </c>
      <c r="T31" s="415"/>
      <c r="U31" s="416">
        <v>46096</v>
      </c>
      <c r="V31" s="339"/>
      <c r="W31" s="206"/>
      <c r="X31" s="1"/>
      <c r="Y31" s="1"/>
      <c r="Z31" s="1"/>
      <c r="AA31" s="353"/>
    </row>
    <row r="32" spans="1:27" ht="42.6" customHeight="1" thickBot="1" x14ac:dyDescent="0.35">
      <c r="A32" s="576">
        <v>13</v>
      </c>
      <c r="B32" s="575" t="s">
        <v>176</v>
      </c>
      <c r="C32" s="239" t="s">
        <v>10</v>
      </c>
      <c r="D32" s="359">
        <v>46049</v>
      </c>
      <c r="E32" s="239" t="s">
        <v>110</v>
      </c>
      <c r="F32" s="239" t="s">
        <v>110</v>
      </c>
      <c r="G32" s="239" t="s">
        <v>179</v>
      </c>
      <c r="H32" s="248">
        <v>5</v>
      </c>
      <c r="I32" s="239" t="s">
        <v>115</v>
      </c>
      <c r="J32" s="361">
        <v>52.11</v>
      </c>
      <c r="K32" s="240">
        <f t="shared" si="6"/>
        <v>1957.397812320092</v>
      </c>
      <c r="L32" s="241">
        <v>102000</v>
      </c>
      <c r="M32" s="241">
        <v>102000</v>
      </c>
      <c r="N32" s="521">
        <f t="shared" si="7"/>
        <v>510000</v>
      </c>
      <c r="O32" s="359"/>
      <c r="P32" s="522">
        <v>46050</v>
      </c>
      <c r="Q32" s="477" t="s">
        <v>30</v>
      </c>
      <c r="R32" s="359">
        <v>46087</v>
      </c>
      <c r="S32" s="359">
        <v>46087</v>
      </c>
      <c r="T32" s="415"/>
      <c r="U32" s="416">
        <v>46096</v>
      </c>
      <c r="V32" s="339"/>
      <c r="W32" s="206"/>
      <c r="X32" s="1"/>
      <c r="Y32" s="1"/>
      <c r="Z32" s="1"/>
      <c r="AA32" s="353"/>
    </row>
    <row r="33" spans="1:27" ht="42.6" customHeight="1" thickBot="1" x14ac:dyDescent="0.35">
      <c r="A33" s="576">
        <v>13</v>
      </c>
      <c r="B33" s="575" t="s">
        <v>176</v>
      </c>
      <c r="C33" s="249" t="s">
        <v>10</v>
      </c>
      <c r="D33" s="273">
        <v>46049</v>
      </c>
      <c r="E33" s="249" t="s">
        <v>110</v>
      </c>
      <c r="F33" s="249" t="s">
        <v>110</v>
      </c>
      <c r="G33" s="249" t="s">
        <v>179</v>
      </c>
      <c r="H33" s="251">
        <v>5</v>
      </c>
      <c r="I33" s="249" t="s">
        <v>116</v>
      </c>
      <c r="J33" s="271">
        <v>52.11</v>
      </c>
      <c r="K33" s="252">
        <f t="shared" si="6"/>
        <v>2014.9683362118597</v>
      </c>
      <c r="L33" s="253">
        <v>105000</v>
      </c>
      <c r="M33" s="253">
        <v>105000</v>
      </c>
      <c r="N33" s="253">
        <f t="shared" si="7"/>
        <v>525000</v>
      </c>
      <c r="O33" s="524"/>
      <c r="P33" s="273">
        <v>46050</v>
      </c>
      <c r="Q33" s="478" t="s">
        <v>30</v>
      </c>
      <c r="R33" s="524">
        <v>46087</v>
      </c>
      <c r="S33" s="524">
        <v>46087</v>
      </c>
      <c r="T33" s="417"/>
      <c r="U33" s="418">
        <v>46096</v>
      </c>
      <c r="V33" s="311"/>
      <c r="W33" s="356"/>
      <c r="X33" s="229"/>
      <c r="Y33" s="229"/>
      <c r="Z33" s="229"/>
      <c r="AA33" s="357"/>
    </row>
    <row r="34" spans="1:27" s="103" customFormat="1" ht="29.4" thickBot="1" x14ac:dyDescent="0.35">
      <c r="A34" s="505">
        <v>14</v>
      </c>
      <c r="B34" s="506" t="s">
        <v>165</v>
      </c>
      <c r="C34" s="506" t="s">
        <v>10</v>
      </c>
      <c r="D34" s="507">
        <v>46049</v>
      </c>
      <c r="E34" s="506" t="s">
        <v>110</v>
      </c>
      <c r="F34" s="506" t="s">
        <v>110</v>
      </c>
      <c r="G34" s="232" t="s">
        <v>164</v>
      </c>
      <c r="H34" s="508">
        <v>21</v>
      </c>
      <c r="I34" s="506" t="s">
        <v>166</v>
      </c>
      <c r="J34" s="508">
        <v>52</v>
      </c>
      <c r="K34" s="509">
        <f t="shared" ref="K34:K39" si="8">L34/J34</f>
        <v>448.71153846153845</v>
      </c>
      <c r="L34" s="510">
        <v>23333</v>
      </c>
      <c r="M34" s="510"/>
      <c r="N34" s="510">
        <v>490000</v>
      </c>
      <c r="O34" s="506"/>
      <c r="P34" s="506"/>
      <c r="Q34" s="508" t="s">
        <v>28</v>
      </c>
      <c r="R34" s="511"/>
      <c r="S34" s="511"/>
      <c r="T34" s="511"/>
      <c r="U34" s="511"/>
      <c r="V34" s="511"/>
      <c r="W34" s="512">
        <v>289170</v>
      </c>
      <c r="X34" s="513"/>
      <c r="Y34" s="513"/>
      <c r="Z34" s="513"/>
      <c r="AA34" s="514"/>
    </row>
    <row r="35" spans="1:27" ht="43.8" thickBot="1" x14ac:dyDescent="0.35">
      <c r="A35" s="372">
        <v>15</v>
      </c>
      <c r="B35" s="396" t="s">
        <v>175</v>
      </c>
      <c r="C35" s="373" t="s">
        <v>10</v>
      </c>
      <c r="D35" s="374">
        <v>46056</v>
      </c>
      <c r="E35" s="373" t="s">
        <v>98</v>
      </c>
      <c r="F35" s="373" t="s">
        <v>98</v>
      </c>
      <c r="G35" s="397" t="s">
        <v>174</v>
      </c>
      <c r="H35" s="376">
        <v>68</v>
      </c>
      <c r="I35" s="375" t="s">
        <v>167</v>
      </c>
      <c r="J35" s="376">
        <v>52</v>
      </c>
      <c r="K35" s="377">
        <f t="shared" si="8"/>
        <v>2576.9230769230771</v>
      </c>
      <c r="L35" s="378">
        <v>134000</v>
      </c>
      <c r="M35" s="398"/>
      <c r="N35" s="378">
        <f>H35*L35</f>
        <v>9112000</v>
      </c>
      <c r="O35" s="380"/>
      <c r="P35" s="380"/>
      <c r="Q35" s="480" t="s">
        <v>195</v>
      </c>
      <c r="R35" s="379"/>
      <c r="S35" s="379"/>
      <c r="T35" s="379"/>
      <c r="U35" s="379"/>
      <c r="V35" s="399"/>
      <c r="W35" s="402">
        <v>68000</v>
      </c>
      <c r="X35" s="362">
        <v>67365</v>
      </c>
      <c r="Y35" s="366"/>
      <c r="Z35" s="366"/>
      <c r="AA35" s="366"/>
    </row>
    <row r="36" spans="1:27" s="16" customFormat="1" ht="28.8" x14ac:dyDescent="0.3">
      <c r="A36" s="591">
        <v>16</v>
      </c>
      <c r="B36" s="588" t="s">
        <v>168</v>
      </c>
      <c r="C36" s="236" t="s">
        <v>10</v>
      </c>
      <c r="D36" s="390">
        <v>46063</v>
      </c>
      <c r="E36" s="236" t="s">
        <v>168</v>
      </c>
      <c r="F36" s="236" t="s">
        <v>168</v>
      </c>
      <c r="G36" s="236" t="s">
        <v>169</v>
      </c>
      <c r="H36" s="238">
        <v>1</v>
      </c>
      <c r="I36" s="237" t="s">
        <v>170</v>
      </c>
      <c r="J36" s="238">
        <v>52</v>
      </c>
      <c r="K36" s="234">
        <f t="shared" si="8"/>
        <v>23230.76923076923</v>
      </c>
      <c r="L36" s="235">
        <v>1208000</v>
      </c>
      <c r="M36" s="391"/>
      <c r="N36" s="235">
        <v>1208000</v>
      </c>
      <c r="O36" s="236"/>
      <c r="P36" s="236"/>
      <c r="Q36" s="238" t="s">
        <v>32</v>
      </c>
      <c r="R36" s="392"/>
      <c r="S36" s="392"/>
      <c r="T36" s="392"/>
      <c r="U36" s="392"/>
      <c r="V36" s="393"/>
      <c r="W36" s="401">
        <v>805400</v>
      </c>
      <c r="X36" s="236"/>
      <c r="Y36" s="236"/>
      <c r="Z36" s="236"/>
      <c r="AA36" s="400"/>
    </row>
    <row r="37" spans="1:27" ht="45.6" customHeight="1" x14ac:dyDescent="0.3">
      <c r="A37" s="592"/>
      <c r="B37" s="589"/>
      <c r="C37" s="381" t="s">
        <v>10</v>
      </c>
      <c r="D37" s="382">
        <v>46063</v>
      </c>
      <c r="E37" s="381" t="s">
        <v>168</v>
      </c>
      <c r="F37" s="381" t="s">
        <v>168</v>
      </c>
      <c r="G37" s="381" t="s">
        <v>169</v>
      </c>
      <c r="H37" s="383">
        <v>1</v>
      </c>
      <c r="I37" s="389" t="s">
        <v>171</v>
      </c>
      <c r="J37" s="383">
        <v>52</v>
      </c>
      <c r="K37" s="384">
        <f t="shared" si="8"/>
        <v>17469.23076923077</v>
      </c>
      <c r="L37" s="385">
        <v>908400</v>
      </c>
      <c r="M37" s="386"/>
      <c r="N37" s="385">
        <v>908400</v>
      </c>
      <c r="O37" s="387"/>
      <c r="P37" s="387"/>
      <c r="Q37" s="383" t="s">
        <v>32</v>
      </c>
      <c r="R37" s="388"/>
      <c r="S37" s="388"/>
      <c r="T37" s="388"/>
      <c r="U37" s="388"/>
      <c r="V37" s="394"/>
      <c r="W37" s="395">
        <v>605600</v>
      </c>
      <c r="X37" s="387"/>
      <c r="Y37" s="387"/>
      <c r="Z37" s="387"/>
      <c r="AA37" s="308"/>
    </row>
    <row r="38" spans="1:27" ht="28.8" x14ac:dyDescent="0.3">
      <c r="A38" s="592"/>
      <c r="B38" s="589"/>
      <c r="C38" s="381" t="s">
        <v>10</v>
      </c>
      <c r="D38" s="382">
        <v>46063</v>
      </c>
      <c r="E38" s="381" t="s">
        <v>168</v>
      </c>
      <c r="F38" s="381" t="s">
        <v>168</v>
      </c>
      <c r="G38" s="381" t="s">
        <v>169</v>
      </c>
      <c r="H38" s="383">
        <v>1</v>
      </c>
      <c r="I38" s="389" t="s">
        <v>172</v>
      </c>
      <c r="J38" s="383">
        <v>52</v>
      </c>
      <c r="K38" s="384">
        <f t="shared" si="8"/>
        <v>18948.076923076922</v>
      </c>
      <c r="L38" s="385">
        <v>985300</v>
      </c>
      <c r="M38" s="386"/>
      <c r="N38" s="385">
        <v>985300</v>
      </c>
      <c r="O38" s="387"/>
      <c r="P38" s="387"/>
      <c r="Q38" s="383" t="s">
        <v>32</v>
      </c>
      <c r="R38" s="388"/>
      <c r="S38" s="388"/>
      <c r="T38" s="388"/>
      <c r="U38" s="388"/>
      <c r="V38" s="394"/>
      <c r="W38" s="395">
        <v>656900</v>
      </c>
      <c r="X38" s="387"/>
      <c r="Y38" s="387"/>
      <c r="Z38" s="387"/>
      <c r="AA38" s="308"/>
    </row>
    <row r="39" spans="1:27" ht="40.200000000000003" customHeight="1" x14ac:dyDescent="0.3">
      <c r="A39" s="593"/>
      <c r="B39" s="590"/>
      <c r="C39" s="362" t="s">
        <v>10</v>
      </c>
      <c r="D39" s="470">
        <v>46063</v>
      </c>
      <c r="E39" s="362" t="s">
        <v>168</v>
      </c>
      <c r="F39" s="362" t="s">
        <v>168</v>
      </c>
      <c r="G39" s="362" t="s">
        <v>169</v>
      </c>
      <c r="H39" s="365">
        <v>1</v>
      </c>
      <c r="I39" s="363" t="s">
        <v>173</v>
      </c>
      <c r="J39" s="365">
        <v>52</v>
      </c>
      <c r="K39" s="464">
        <f t="shared" si="8"/>
        <v>11829.807692307691</v>
      </c>
      <c r="L39" s="465">
        <v>615150</v>
      </c>
      <c r="M39" s="466"/>
      <c r="N39" s="465">
        <v>615150</v>
      </c>
      <c r="O39" s="366"/>
      <c r="P39" s="366"/>
      <c r="Q39" s="365" t="s">
        <v>32</v>
      </c>
      <c r="R39" s="369"/>
      <c r="S39" s="369"/>
      <c r="T39" s="369"/>
      <c r="U39" s="369"/>
      <c r="V39" s="467"/>
      <c r="W39" s="468">
        <v>410100</v>
      </c>
      <c r="X39" s="366"/>
      <c r="Y39" s="366"/>
      <c r="Z39" s="366"/>
      <c r="AA39" s="370"/>
    </row>
    <row r="40" spans="1:27" s="463" customFormat="1" ht="100.8" x14ac:dyDescent="0.3">
      <c r="A40" s="362">
        <v>17</v>
      </c>
      <c r="B40" s="362" t="s">
        <v>110</v>
      </c>
      <c r="C40" s="362" t="s">
        <v>10</v>
      </c>
      <c r="D40" s="470">
        <v>46059</v>
      </c>
      <c r="E40" s="362" t="s">
        <v>110</v>
      </c>
      <c r="F40" s="363" t="s">
        <v>181</v>
      </c>
      <c r="G40" s="363" t="s">
        <v>186</v>
      </c>
      <c r="H40" s="365">
        <v>1</v>
      </c>
      <c r="I40" s="363" t="s">
        <v>182</v>
      </c>
      <c r="J40" s="365"/>
      <c r="K40" s="362"/>
      <c r="L40" s="362"/>
      <c r="M40" s="471"/>
      <c r="N40" s="362"/>
      <c r="O40" s="362"/>
      <c r="P40" s="362"/>
      <c r="Q40" s="490" t="s">
        <v>225</v>
      </c>
      <c r="R40" s="472"/>
      <c r="S40" s="472"/>
      <c r="T40" s="472"/>
      <c r="U40" s="472"/>
      <c r="V40" s="472"/>
      <c r="W40" s="403"/>
      <c r="X40" s="362"/>
      <c r="Y40" s="362"/>
      <c r="Z40" s="362"/>
      <c r="AA40" s="362"/>
    </row>
    <row r="41" spans="1:27" s="463" customFormat="1" ht="43.2" x14ac:dyDescent="0.3">
      <c r="A41" s="582">
        <v>18</v>
      </c>
      <c r="B41" s="582" t="s">
        <v>110</v>
      </c>
      <c r="C41" s="582" t="s">
        <v>10</v>
      </c>
      <c r="D41" s="584">
        <v>46140</v>
      </c>
      <c r="E41" s="582" t="s">
        <v>110</v>
      </c>
      <c r="F41" s="580" t="s">
        <v>181</v>
      </c>
      <c r="G41" s="363" t="s">
        <v>230</v>
      </c>
      <c r="H41" s="582">
        <v>65</v>
      </c>
      <c r="I41" s="580" t="s">
        <v>183</v>
      </c>
      <c r="J41" s="365">
        <v>52.75</v>
      </c>
      <c r="K41" s="464">
        <f>L41/J41</f>
        <v>7393.3649289099531</v>
      </c>
      <c r="L41" s="465">
        <v>390000</v>
      </c>
      <c r="M41" s="471"/>
      <c r="N41" s="465">
        <f>H41*L41</f>
        <v>25350000</v>
      </c>
      <c r="O41" s="362"/>
      <c r="P41" s="362"/>
      <c r="Q41" s="490" t="s">
        <v>232</v>
      </c>
      <c r="R41" s="472"/>
      <c r="S41" s="472"/>
      <c r="T41" s="472"/>
      <c r="U41" s="472"/>
      <c r="V41" s="472"/>
      <c r="W41" s="403">
        <v>312630</v>
      </c>
      <c r="X41" s="362"/>
      <c r="Y41" s="362"/>
      <c r="Z41" s="362"/>
      <c r="AA41" s="362"/>
    </row>
    <row r="42" spans="1:27" s="463" customFormat="1" ht="115.2" x14ac:dyDescent="0.3">
      <c r="A42" s="583"/>
      <c r="B42" s="583"/>
      <c r="C42" s="583"/>
      <c r="D42" s="585"/>
      <c r="E42" s="583"/>
      <c r="F42" s="581"/>
      <c r="G42" s="363" t="s">
        <v>231</v>
      </c>
      <c r="H42" s="583"/>
      <c r="I42" s="581"/>
      <c r="J42" s="365">
        <v>52.75</v>
      </c>
      <c r="K42" s="464">
        <f>L42/J42</f>
        <v>10407.582938388625</v>
      </c>
      <c r="L42" s="465">
        <v>549000</v>
      </c>
      <c r="M42" s="471"/>
      <c r="N42" s="465">
        <f>H41*L42</f>
        <v>35685000</v>
      </c>
      <c r="O42" s="362"/>
      <c r="P42" s="362"/>
      <c r="Q42" s="490" t="s">
        <v>232</v>
      </c>
      <c r="R42" s="472"/>
      <c r="S42" s="472"/>
      <c r="T42" s="472"/>
      <c r="U42" s="472"/>
      <c r="V42" s="472"/>
      <c r="W42" s="403"/>
      <c r="X42" s="362"/>
      <c r="Y42" s="362"/>
      <c r="Z42" s="362"/>
      <c r="AA42" s="362"/>
    </row>
    <row r="43" spans="1:27" ht="43.2" x14ac:dyDescent="0.3">
      <c r="A43" s="387">
        <v>19</v>
      </c>
      <c r="B43" s="387"/>
      <c r="C43" s="381" t="s">
        <v>10</v>
      </c>
      <c r="D43" s="382">
        <v>46080</v>
      </c>
      <c r="E43" s="381"/>
      <c r="F43" s="381"/>
      <c r="G43" s="389" t="s">
        <v>184</v>
      </c>
      <c r="H43" s="383">
        <v>5</v>
      </c>
      <c r="I43" s="389" t="s">
        <v>185</v>
      </c>
      <c r="J43" s="383">
        <v>51.87</v>
      </c>
      <c r="K43" s="464">
        <f>L43/J43</f>
        <v>9600.9253903990757</v>
      </c>
      <c r="L43" s="465">
        <v>498000</v>
      </c>
      <c r="M43" s="386"/>
      <c r="N43" s="465">
        <f>H43*L43</f>
        <v>2490000</v>
      </c>
      <c r="O43" s="387"/>
      <c r="P43" s="387"/>
      <c r="Q43" s="479" t="s">
        <v>194</v>
      </c>
      <c r="R43" s="388"/>
      <c r="S43" s="388"/>
      <c r="T43" s="388"/>
      <c r="U43" s="388"/>
      <c r="V43" s="388"/>
      <c r="W43" s="469">
        <v>269000</v>
      </c>
      <c r="X43" s="387"/>
      <c r="Y43" s="387"/>
      <c r="Z43" s="387"/>
      <c r="AA43" s="387"/>
    </row>
    <row r="44" spans="1:27" ht="43.2" x14ac:dyDescent="0.3">
      <c r="A44" s="381">
        <v>20</v>
      </c>
      <c r="B44" s="387"/>
      <c r="C44" s="381" t="s">
        <v>10</v>
      </c>
      <c r="D44" s="382">
        <v>46080</v>
      </c>
      <c r="E44" s="381"/>
      <c r="F44" s="381" t="s">
        <v>98</v>
      </c>
      <c r="G44" s="389" t="s">
        <v>187</v>
      </c>
      <c r="H44" s="383">
        <v>10</v>
      </c>
      <c r="I44" s="389" t="s">
        <v>185</v>
      </c>
      <c r="J44" s="383">
        <v>51.87</v>
      </c>
      <c r="K44" s="464">
        <f>L44/J44</f>
        <v>12627.723154038944</v>
      </c>
      <c r="L44" s="465">
        <v>655000</v>
      </c>
      <c r="M44" s="473">
        <v>520000</v>
      </c>
      <c r="N44" s="465">
        <f>H44*M44</f>
        <v>5200000</v>
      </c>
      <c r="O44" s="387"/>
      <c r="P44" s="387"/>
      <c r="Q44" s="479" t="s">
        <v>194</v>
      </c>
      <c r="R44" s="388"/>
      <c r="S44" s="388"/>
      <c r="T44" s="388"/>
      <c r="U44" s="388"/>
      <c r="V44" s="388"/>
      <c r="W44" s="469">
        <v>425000</v>
      </c>
      <c r="X44" s="387"/>
      <c r="Y44" s="387"/>
      <c r="Z44" s="387"/>
      <c r="AA44" s="387"/>
    </row>
    <row r="45" spans="1:27" s="16" customFormat="1" ht="33" customHeight="1" thickBot="1" x14ac:dyDescent="0.35">
      <c r="A45" s="381">
        <v>21</v>
      </c>
      <c r="B45" s="381"/>
      <c r="C45" s="381" t="s">
        <v>10</v>
      </c>
      <c r="D45" s="381"/>
      <c r="E45" s="381"/>
      <c r="F45" s="381" t="s">
        <v>188</v>
      </c>
      <c r="G45" s="389" t="s">
        <v>92</v>
      </c>
      <c r="H45" s="383">
        <v>1</v>
      </c>
      <c r="I45" s="381"/>
      <c r="J45" s="383"/>
      <c r="K45" s="381"/>
      <c r="L45" s="381"/>
      <c r="M45" s="473"/>
      <c r="N45" s="381"/>
      <c r="O45" s="381"/>
      <c r="P45" s="381"/>
      <c r="Q45" s="491" t="s">
        <v>189</v>
      </c>
      <c r="R45" s="474"/>
      <c r="S45" s="474"/>
      <c r="T45" s="474"/>
      <c r="U45" s="474"/>
      <c r="V45" s="474"/>
      <c r="W45" s="475">
        <v>262500</v>
      </c>
      <c r="X45" s="381"/>
      <c r="Y45" s="381"/>
      <c r="Z45" s="381"/>
      <c r="AA45" s="381"/>
    </row>
    <row r="46" spans="1:27" s="16" customFormat="1" ht="64.2" customHeight="1" x14ac:dyDescent="0.3">
      <c r="A46" s="337">
        <v>22</v>
      </c>
      <c r="B46" s="483" t="s">
        <v>196</v>
      </c>
      <c r="C46" s="484" t="s">
        <v>10</v>
      </c>
      <c r="D46" s="359">
        <v>46080</v>
      </c>
      <c r="E46" s="484" t="s">
        <v>98</v>
      </c>
      <c r="F46" s="484" t="s">
        <v>98</v>
      </c>
      <c r="G46" s="197" t="s">
        <v>197</v>
      </c>
      <c r="H46" s="485">
        <v>50</v>
      </c>
      <c r="I46" s="198" t="s">
        <v>167</v>
      </c>
      <c r="J46" s="361">
        <v>51.87</v>
      </c>
      <c r="K46" s="201">
        <f>M46/J46</f>
        <v>1927.8966647387701</v>
      </c>
      <c r="L46" s="202">
        <v>135000</v>
      </c>
      <c r="M46" s="241">
        <v>100000</v>
      </c>
      <c r="N46" s="202">
        <f>M46*H46</f>
        <v>5000000</v>
      </c>
      <c r="O46" s="523">
        <v>46153</v>
      </c>
      <c r="P46" s="486"/>
      <c r="Q46" s="487" t="s">
        <v>30</v>
      </c>
      <c r="R46" s="577">
        <v>46162</v>
      </c>
      <c r="S46" s="577">
        <v>46153</v>
      </c>
      <c r="T46" s="415"/>
      <c r="U46" s="415"/>
      <c r="V46" s="415"/>
      <c r="W46" s="488">
        <v>68000</v>
      </c>
      <c r="X46" s="489" t="s">
        <v>198</v>
      </c>
      <c r="Y46" s="337"/>
      <c r="Z46" s="337"/>
      <c r="AA46" s="337"/>
    </row>
    <row r="47" spans="1:27" ht="28.8" x14ac:dyDescent="0.3">
      <c r="A47" s="387">
        <v>23</v>
      </c>
      <c r="B47" s="363" t="s">
        <v>192</v>
      </c>
      <c r="C47" s="362" t="s">
        <v>191</v>
      </c>
      <c r="D47" s="470">
        <v>46105</v>
      </c>
      <c r="E47" s="362" t="s">
        <v>190</v>
      </c>
      <c r="F47" s="362"/>
      <c r="G47" s="363" t="s">
        <v>192</v>
      </c>
      <c r="H47" s="365">
        <v>15</v>
      </c>
      <c r="I47" s="362" t="s">
        <v>193</v>
      </c>
      <c r="J47" s="365">
        <v>51.5</v>
      </c>
      <c r="K47" s="464">
        <v>24900</v>
      </c>
      <c r="L47" s="362"/>
      <c r="M47" s="466"/>
      <c r="N47" s="366"/>
      <c r="O47" s="366"/>
      <c r="P47" s="366"/>
      <c r="Q47" s="365" t="s">
        <v>32</v>
      </c>
      <c r="R47" s="388"/>
      <c r="S47" s="388"/>
      <c r="T47" s="388"/>
      <c r="U47" s="388"/>
      <c r="V47" s="388"/>
      <c r="W47" s="469"/>
      <c r="X47" s="387"/>
      <c r="Y47" s="387"/>
      <c r="Z47" s="387"/>
      <c r="AA47" s="387"/>
    </row>
    <row r="48" spans="1:27" s="103" customFormat="1" ht="43.8" thickBot="1" x14ac:dyDescent="0.35">
      <c r="A48" s="207">
        <v>24</v>
      </c>
      <c r="B48" s="215" t="s">
        <v>136</v>
      </c>
      <c r="C48" s="494" t="s">
        <v>10</v>
      </c>
      <c r="D48" s="495">
        <v>46108</v>
      </c>
      <c r="E48" s="494" t="s">
        <v>97</v>
      </c>
      <c r="F48" s="494"/>
      <c r="G48" s="496" t="s">
        <v>199</v>
      </c>
      <c r="H48" s="497">
        <v>3</v>
      </c>
      <c r="I48" s="496" t="s">
        <v>200</v>
      </c>
      <c r="J48" s="497">
        <v>51.3</v>
      </c>
      <c r="K48" s="187">
        <f>L48/J48</f>
        <v>6803.1189083820664</v>
      </c>
      <c r="L48" s="137">
        <v>349000</v>
      </c>
      <c r="M48" s="137">
        <v>286000</v>
      </c>
      <c r="N48" s="332"/>
      <c r="O48" s="332"/>
      <c r="P48" s="332"/>
      <c r="Q48" s="328" t="s">
        <v>28</v>
      </c>
      <c r="R48" s="498"/>
      <c r="S48" s="498"/>
      <c r="T48" s="498"/>
      <c r="U48" s="498"/>
      <c r="V48" s="498"/>
      <c r="W48" s="499">
        <v>269650</v>
      </c>
      <c r="X48" s="207"/>
      <c r="Y48" s="207"/>
      <c r="Z48" s="207"/>
      <c r="AA48" s="207"/>
    </row>
    <row r="49" spans="1:28" ht="43.2" x14ac:dyDescent="0.3">
      <c r="A49" s="337">
        <v>25</v>
      </c>
      <c r="B49" s="500" t="s">
        <v>136</v>
      </c>
      <c r="C49" s="337" t="s">
        <v>10</v>
      </c>
      <c r="D49" s="359">
        <v>46108</v>
      </c>
      <c r="E49" s="337" t="s">
        <v>97</v>
      </c>
      <c r="F49" s="481" t="s">
        <v>201</v>
      </c>
      <c r="G49" s="481" t="s">
        <v>199</v>
      </c>
      <c r="H49" s="361">
        <v>1</v>
      </c>
      <c r="I49" s="481" t="s">
        <v>200</v>
      </c>
      <c r="J49" s="361">
        <v>51.3</v>
      </c>
      <c r="K49" s="240">
        <f>L49/J49</f>
        <v>6803.1189083820664</v>
      </c>
      <c r="L49" s="241">
        <v>349000</v>
      </c>
      <c r="M49" s="241">
        <v>286000</v>
      </c>
      <c r="N49" s="202">
        <f>H49*M49</f>
        <v>286000</v>
      </c>
      <c r="O49" s="338"/>
      <c r="P49" s="338"/>
      <c r="Q49" s="361" t="s">
        <v>30</v>
      </c>
      <c r="R49" s="577">
        <v>46187</v>
      </c>
      <c r="S49" s="339"/>
      <c r="T49" s="339"/>
      <c r="U49" s="339"/>
      <c r="V49" s="339"/>
      <c r="W49" s="482">
        <v>269650</v>
      </c>
      <c r="X49" s="338"/>
      <c r="Y49" s="338"/>
      <c r="Z49" s="338"/>
      <c r="AA49" s="338"/>
    </row>
    <row r="50" spans="1:28" ht="28.8" x14ac:dyDescent="0.3">
      <c r="A50" s="481">
        <v>26</v>
      </c>
      <c r="B50" s="481" t="s">
        <v>217</v>
      </c>
      <c r="C50" s="481" t="s">
        <v>10</v>
      </c>
      <c r="D50" s="529">
        <v>46121</v>
      </c>
      <c r="E50" s="481" t="s">
        <v>98</v>
      </c>
      <c r="F50" s="481" t="s">
        <v>98</v>
      </c>
      <c r="G50" s="481" t="s">
        <v>202</v>
      </c>
      <c r="H50" s="530">
        <v>50</v>
      </c>
      <c r="I50" s="481" t="s">
        <v>203</v>
      </c>
      <c r="J50" s="361">
        <v>51.57</v>
      </c>
      <c r="K50" s="240">
        <f>M50/J50</f>
        <v>7930.9676168314909</v>
      </c>
      <c r="L50" s="241">
        <v>369000</v>
      </c>
      <c r="M50" s="241">
        <v>409000</v>
      </c>
      <c r="N50" s="532">
        <f>H50*M50</f>
        <v>20450000</v>
      </c>
      <c r="O50" s="531"/>
      <c r="P50" s="338"/>
      <c r="Q50" s="530" t="s">
        <v>30</v>
      </c>
      <c r="R50" s="577">
        <v>46217</v>
      </c>
      <c r="S50" s="339"/>
      <c r="T50" s="339"/>
      <c r="U50" s="339"/>
      <c r="V50" s="339"/>
      <c r="W50" s="482">
        <v>164965</v>
      </c>
      <c r="X50" s="338"/>
      <c r="Y50" s="338"/>
      <c r="Z50" s="338"/>
      <c r="AA50" s="338"/>
      <c r="AB50" t="s">
        <v>237</v>
      </c>
    </row>
    <row r="51" spans="1:28" ht="28.8" x14ac:dyDescent="0.3">
      <c r="A51" s="389">
        <v>27</v>
      </c>
      <c r="B51" s="389" t="s">
        <v>218</v>
      </c>
      <c r="C51" s="389" t="s">
        <v>10</v>
      </c>
      <c r="D51" s="515">
        <v>46121</v>
      </c>
      <c r="E51" s="389" t="s">
        <v>98</v>
      </c>
      <c r="F51" s="389" t="s">
        <v>98</v>
      </c>
      <c r="G51" s="389" t="s">
        <v>204</v>
      </c>
      <c r="H51" s="479">
        <v>15</v>
      </c>
      <c r="I51" s="389" t="s">
        <v>203</v>
      </c>
      <c r="J51" s="383">
        <v>51.57</v>
      </c>
      <c r="K51" s="384">
        <f>L51/J51</f>
        <v>5623.4244715920104</v>
      </c>
      <c r="L51" s="385">
        <v>290000</v>
      </c>
      <c r="M51" s="386"/>
      <c r="N51" s="528">
        <f t="shared" ref="N51:N65" si="9">H51*L51</f>
        <v>4350000</v>
      </c>
      <c r="O51" s="387"/>
      <c r="P51" s="387"/>
      <c r="Q51" s="479" t="s">
        <v>32</v>
      </c>
      <c r="R51" s="388"/>
      <c r="S51" s="388"/>
      <c r="T51" s="388"/>
      <c r="U51" s="388"/>
      <c r="V51" s="388"/>
      <c r="W51" s="469"/>
      <c r="X51" s="387"/>
      <c r="Y51" s="387"/>
      <c r="Z51" s="387"/>
      <c r="AA51" s="387"/>
    </row>
    <row r="52" spans="1:28" ht="28.8" x14ac:dyDescent="0.3">
      <c r="A52" s="389">
        <v>28</v>
      </c>
      <c r="B52" s="389" t="s">
        <v>216</v>
      </c>
      <c r="C52" s="389" t="s">
        <v>10</v>
      </c>
      <c r="D52" s="515">
        <v>46121</v>
      </c>
      <c r="E52" s="389" t="s">
        <v>98</v>
      </c>
      <c r="F52" s="389" t="s">
        <v>98</v>
      </c>
      <c r="G52" s="389" t="s">
        <v>205</v>
      </c>
      <c r="H52" s="479">
        <v>26</v>
      </c>
      <c r="I52" s="389" t="s">
        <v>206</v>
      </c>
      <c r="J52" s="383">
        <v>51.57</v>
      </c>
      <c r="K52" s="384">
        <f>L52/J52</f>
        <v>5623.4244715920104</v>
      </c>
      <c r="L52" s="385">
        <v>290000</v>
      </c>
      <c r="M52" s="386"/>
      <c r="N52" s="528">
        <f t="shared" si="9"/>
        <v>7540000</v>
      </c>
      <c r="O52" s="387"/>
      <c r="P52" s="387"/>
      <c r="Q52" s="479" t="s">
        <v>32</v>
      </c>
      <c r="R52" s="388"/>
      <c r="S52" s="388"/>
      <c r="T52" s="388"/>
      <c r="U52" s="388"/>
      <c r="V52" s="388"/>
      <c r="W52" s="469"/>
      <c r="X52" s="387"/>
      <c r="Y52" s="387"/>
      <c r="Z52" s="387"/>
      <c r="AA52" s="387"/>
    </row>
    <row r="53" spans="1:28" s="389" customFormat="1" ht="44.4" customHeight="1" x14ac:dyDescent="0.3">
      <c r="A53" s="389">
        <v>29</v>
      </c>
      <c r="B53" s="389" t="s">
        <v>220</v>
      </c>
      <c r="C53" s="389" t="s">
        <v>207</v>
      </c>
      <c r="D53" s="493">
        <v>46119</v>
      </c>
      <c r="G53" s="389" t="s">
        <v>213</v>
      </c>
      <c r="H53" s="479">
        <v>1</v>
      </c>
      <c r="I53" s="389" t="s">
        <v>208</v>
      </c>
      <c r="J53" s="383">
        <v>52.09</v>
      </c>
      <c r="K53" s="384">
        <v>742</v>
      </c>
      <c r="L53" s="492">
        <f>J53*K53</f>
        <v>38650.780000000006</v>
      </c>
      <c r="N53" s="528">
        <f t="shared" si="9"/>
        <v>38650.780000000006</v>
      </c>
      <c r="Q53" s="479" t="s">
        <v>209</v>
      </c>
    </row>
    <row r="54" spans="1:28" s="389" customFormat="1" ht="43.2" customHeight="1" x14ac:dyDescent="0.3">
      <c r="A54" s="389">
        <v>30</v>
      </c>
      <c r="B54" s="389" t="s">
        <v>219</v>
      </c>
      <c r="C54" s="389" t="s">
        <v>210</v>
      </c>
      <c r="D54" s="493">
        <v>46119</v>
      </c>
      <c r="G54" s="389" t="s">
        <v>212</v>
      </c>
      <c r="H54" s="479">
        <v>1</v>
      </c>
      <c r="I54" s="389" t="s">
        <v>211</v>
      </c>
      <c r="J54" s="383">
        <v>52.09</v>
      </c>
      <c r="K54" s="384">
        <v>49000</v>
      </c>
      <c r="L54" s="492">
        <f>K54*J54</f>
        <v>2552410</v>
      </c>
      <c r="N54" s="528">
        <f t="shared" si="9"/>
        <v>2552410</v>
      </c>
      <c r="Q54" s="479" t="s">
        <v>209</v>
      </c>
    </row>
    <row r="55" spans="1:28" ht="43.2" x14ac:dyDescent="0.3">
      <c r="A55" s="389">
        <v>31</v>
      </c>
      <c r="B55" s="389" t="s">
        <v>223</v>
      </c>
      <c r="C55" s="389" t="s">
        <v>10</v>
      </c>
      <c r="D55" s="493">
        <v>46118</v>
      </c>
      <c r="E55" s="389" t="s">
        <v>110</v>
      </c>
      <c r="F55" s="389" t="s">
        <v>181</v>
      </c>
      <c r="G55" s="389" t="s">
        <v>214</v>
      </c>
      <c r="H55" s="479">
        <v>1</v>
      </c>
      <c r="I55" s="363" t="s">
        <v>215</v>
      </c>
      <c r="J55" s="383">
        <v>52.1</v>
      </c>
      <c r="K55" s="384">
        <f t="shared" ref="K55:K70" si="10">L55/J55</f>
        <v>9404.9904030710168</v>
      </c>
      <c r="L55" s="492">
        <v>490000</v>
      </c>
      <c r="M55" s="389"/>
      <c r="N55" s="528">
        <f t="shared" si="9"/>
        <v>490000</v>
      </c>
      <c r="O55" s="389"/>
      <c r="P55" s="389"/>
      <c r="Q55" s="479" t="s">
        <v>224</v>
      </c>
      <c r="R55" s="493"/>
      <c r="S55" s="493"/>
      <c r="T55" s="389"/>
      <c r="U55" s="389"/>
      <c r="V55" s="389"/>
      <c r="W55" s="469"/>
      <c r="X55" s="387"/>
      <c r="Y55" s="387"/>
      <c r="Z55" s="387"/>
      <c r="AA55" s="387"/>
    </row>
    <row r="56" spans="1:28" ht="43.2" x14ac:dyDescent="0.3">
      <c r="A56" s="586">
        <v>32</v>
      </c>
      <c r="B56" s="587" t="s">
        <v>137</v>
      </c>
      <c r="C56" s="381" t="s">
        <v>10</v>
      </c>
      <c r="D56" s="504">
        <v>46113</v>
      </c>
      <c r="E56" s="381" t="s">
        <v>98</v>
      </c>
      <c r="F56" s="381" t="s">
        <v>221</v>
      </c>
      <c r="G56" s="501" t="s">
        <v>150</v>
      </c>
      <c r="H56" s="383">
        <v>7</v>
      </c>
      <c r="I56" s="501" t="s">
        <v>139</v>
      </c>
      <c r="J56" s="383">
        <v>51.64</v>
      </c>
      <c r="K56" s="384">
        <f t="shared" si="10"/>
        <v>2614.2525174283501</v>
      </c>
      <c r="L56" s="502">
        <v>135000</v>
      </c>
      <c r="M56" s="386"/>
      <c r="N56" s="528">
        <f t="shared" si="9"/>
        <v>945000</v>
      </c>
      <c r="O56" s="387"/>
      <c r="P56" s="387"/>
      <c r="Q56" s="479" t="s">
        <v>32</v>
      </c>
      <c r="R56" s="388"/>
      <c r="S56" s="388"/>
      <c r="T56" s="388"/>
      <c r="U56" s="388"/>
      <c r="V56" s="388"/>
      <c r="W56" s="469">
        <v>87126</v>
      </c>
      <c r="X56" s="503" t="s">
        <v>222</v>
      </c>
      <c r="Y56" s="387"/>
      <c r="Z56" s="387"/>
      <c r="AA56" s="387"/>
      <c r="AB56" s="503" t="s">
        <v>222</v>
      </c>
    </row>
    <row r="57" spans="1:28" ht="43.2" x14ac:dyDescent="0.3">
      <c r="A57" s="586"/>
      <c r="B57" s="587"/>
      <c r="C57" s="381" t="s">
        <v>10</v>
      </c>
      <c r="D57" s="504">
        <v>46113</v>
      </c>
      <c r="E57" s="381" t="s">
        <v>98</v>
      </c>
      <c r="F57" s="381" t="s">
        <v>221</v>
      </c>
      <c r="G57" s="501" t="s">
        <v>151</v>
      </c>
      <c r="H57" s="383">
        <v>1</v>
      </c>
      <c r="I57" s="501" t="s">
        <v>139</v>
      </c>
      <c r="J57" s="383">
        <v>51.64</v>
      </c>
      <c r="K57" s="384">
        <f t="shared" si="10"/>
        <v>3059.643687064291</v>
      </c>
      <c r="L57" s="502">
        <v>158000</v>
      </c>
      <c r="M57" s="386"/>
      <c r="N57" s="528">
        <f t="shared" si="9"/>
        <v>158000</v>
      </c>
      <c r="O57" s="387"/>
      <c r="P57" s="387"/>
      <c r="Q57" s="479" t="s">
        <v>32</v>
      </c>
      <c r="R57" s="388"/>
      <c r="S57" s="388"/>
      <c r="T57" s="388"/>
      <c r="U57" s="388"/>
      <c r="V57" s="388"/>
      <c r="W57" s="469">
        <v>147793</v>
      </c>
      <c r="X57" s="503" t="s">
        <v>222</v>
      </c>
      <c r="Y57" s="387"/>
      <c r="Z57" s="387"/>
      <c r="AA57" s="387"/>
      <c r="AB57" s="503" t="s">
        <v>222</v>
      </c>
    </row>
    <row r="58" spans="1:28" ht="43.2" x14ac:dyDescent="0.3">
      <c r="A58" s="389">
        <v>33</v>
      </c>
      <c r="B58" s="389" t="s">
        <v>229</v>
      </c>
      <c r="C58" s="381" t="s">
        <v>10</v>
      </c>
      <c r="D58" s="382">
        <v>46122</v>
      </c>
      <c r="E58" s="389" t="s">
        <v>226</v>
      </c>
      <c r="F58" s="381" t="s">
        <v>98</v>
      </c>
      <c r="G58" s="389" t="s">
        <v>227</v>
      </c>
      <c r="H58" s="383">
        <v>15</v>
      </c>
      <c r="I58" s="389" t="s">
        <v>228</v>
      </c>
      <c r="J58" s="383">
        <v>51.57</v>
      </c>
      <c r="K58" s="384">
        <f t="shared" si="10"/>
        <v>1260.4227263913128</v>
      </c>
      <c r="L58" s="492">
        <v>65000</v>
      </c>
      <c r="M58" s="386"/>
      <c r="N58" s="528">
        <f t="shared" si="9"/>
        <v>975000</v>
      </c>
      <c r="O58" s="387"/>
      <c r="P58" s="387"/>
      <c r="Q58" s="383" t="s">
        <v>32</v>
      </c>
      <c r="R58" s="388"/>
      <c r="S58" s="388"/>
      <c r="T58" s="388"/>
      <c r="U58" s="388"/>
      <c r="V58" s="388"/>
      <c r="W58" s="469"/>
      <c r="X58" s="387"/>
      <c r="Y58" s="387"/>
      <c r="Z58" s="387"/>
      <c r="AA58" s="387"/>
    </row>
    <row r="59" spans="1:28" ht="43.2" x14ac:dyDescent="0.3">
      <c r="A59" s="389">
        <v>34</v>
      </c>
      <c r="B59" s="389" t="s">
        <v>233</v>
      </c>
      <c r="C59" s="389" t="s">
        <v>235</v>
      </c>
      <c r="D59" s="382">
        <v>46141</v>
      </c>
      <c r="E59" s="381"/>
      <c r="F59" s="381" t="s">
        <v>263</v>
      </c>
      <c r="G59" s="381" t="s">
        <v>234</v>
      </c>
      <c r="H59" s="383">
        <v>24</v>
      </c>
      <c r="I59" s="389" t="s">
        <v>236</v>
      </c>
      <c r="J59" s="383">
        <v>52.75</v>
      </c>
      <c r="K59" s="384">
        <f t="shared" si="10"/>
        <v>1123.2227488151659</v>
      </c>
      <c r="L59" s="492">
        <v>59250</v>
      </c>
      <c r="M59" s="386"/>
      <c r="N59" s="528">
        <f t="shared" si="9"/>
        <v>1422000</v>
      </c>
      <c r="O59" s="387"/>
      <c r="P59" s="387"/>
      <c r="Q59" s="479" t="s">
        <v>225</v>
      </c>
      <c r="R59" s="388"/>
      <c r="S59" s="388"/>
      <c r="T59" s="388"/>
      <c r="U59" s="388"/>
      <c r="V59" s="388"/>
      <c r="W59" s="469"/>
      <c r="X59" s="387"/>
      <c r="Y59" s="387"/>
      <c r="Z59" s="387"/>
      <c r="AA59" s="387"/>
    </row>
    <row r="60" spans="1:28" ht="57.6" x14ac:dyDescent="0.3">
      <c r="A60" s="389">
        <v>35</v>
      </c>
      <c r="B60" s="389" t="s">
        <v>238</v>
      </c>
      <c r="C60" s="381" t="s">
        <v>10</v>
      </c>
      <c r="D60" s="382">
        <v>46160</v>
      </c>
      <c r="E60" s="381" t="s">
        <v>97</v>
      </c>
      <c r="F60" s="381" t="s">
        <v>263</v>
      </c>
      <c r="G60" s="381" t="s">
        <v>262</v>
      </c>
      <c r="H60" s="383">
        <v>1</v>
      </c>
      <c r="I60" s="389" t="s">
        <v>261</v>
      </c>
      <c r="J60" s="383">
        <v>52.85</v>
      </c>
      <c r="K60" s="384">
        <f t="shared" si="10"/>
        <v>37786.187322611164</v>
      </c>
      <c r="L60" s="492">
        <v>1997000</v>
      </c>
      <c r="M60" s="386"/>
      <c r="N60" s="579">
        <f t="shared" si="9"/>
        <v>1997000</v>
      </c>
      <c r="O60" s="387"/>
      <c r="P60" s="387"/>
      <c r="Q60" s="479" t="s">
        <v>225</v>
      </c>
      <c r="R60" s="388"/>
      <c r="S60" s="388"/>
      <c r="T60" s="388"/>
      <c r="U60" s="388"/>
      <c r="V60" s="388"/>
      <c r="W60" s="469"/>
      <c r="X60" s="387"/>
      <c r="Y60" s="387"/>
      <c r="Z60" s="387"/>
      <c r="AA60" s="387"/>
    </row>
    <row r="61" spans="1:28" ht="28.8" x14ac:dyDescent="0.3">
      <c r="A61" s="389">
        <v>36</v>
      </c>
      <c r="B61" s="389" t="s">
        <v>239</v>
      </c>
      <c r="C61" s="381" t="s">
        <v>10</v>
      </c>
      <c r="D61" s="382">
        <v>46163</v>
      </c>
      <c r="E61" s="381" t="s">
        <v>97</v>
      </c>
      <c r="F61" s="381" t="s">
        <v>263</v>
      </c>
      <c r="G61" s="381" t="s">
        <v>264</v>
      </c>
      <c r="H61" s="383">
        <v>1</v>
      </c>
      <c r="I61" s="389" t="s">
        <v>265</v>
      </c>
      <c r="J61" s="383">
        <v>52.85</v>
      </c>
      <c r="K61" s="384">
        <f t="shared" si="10"/>
        <v>2771.9962157048249</v>
      </c>
      <c r="L61" s="492">
        <v>146500</v>
      </c>
      <c r="M61" s="386"/>
      <c r="N61" s="579">
        <f t="shared" si="9"/>
        <v>146500</v>
      </c>
      <c r="O61" s="387"/>
      <c r="P61" s="387"/>
      <c r="Q61" s="479" t="s">
        <v>232</v>
      </c>
      <c r="R61" s="388"/>
      <c r="S61" s="388"/>
      <c r="T61" s="388"/>
      <c r="U61" s="388"/>
      <c r="V61" s="388"/>
      <c r="W61" s="469"/>
      <c r="X61" s="387"/>
      <c r="Y61" s="387"/>
      <c r="Z61" s="387"/>
      <c r="AA61" s="387"/>
    </row>
    <row r="62" spans="1:28" ht="28.8" x14ac:dyDescent="0.3">
      <c r="A62" s="389">
        <v>37</v>
      </c>
      <c r="B62" s="566" t="s">
        <v>240</v>
      </c>
      <c r="C62" s="381" t="s">
        <v>10</v>
      </c>
      <c r="D62" s="382">
        <v>46163</v>
      </c>
      <c r="E62" s="381" t="s">
        <v>97</v>
      </c>
      <c r="F62" s="381"/>
      <c r="G62" s="381" t="s">
        <v>275</v>
      </c>
      <c r="H62" s="383">
        <v>1</v>
      </c>
      <c r="I62" s="381" t="s">
        <v>276</v>
      </c>
      <c r="J62" s="383">
        <v>52.85</v>
      </c>
      <c r="K62" s="384">
        <f t="shared" si="10"/>
        <v>6622.5165562913908</v>
      </c>
      <c r="L62" s="492">
        <v>350000</v>
      </c>
      <c r="M62" s="386"/>
      <c r="N62" s="579">
        <f t="shared" si="9"/>
        <v>350000</v>
      </c>
      <c r="O62" s="387"/>
      <c r="P62" s="387"/>
      <c r="Q62" s="383"/>
      <c r="R62" s="388"/>
      <c r="S62" s="388"/>
      <c r="T62" s="388"/>
      <c r="U62" s="388"/>
      <c r="V62" s="388"/>
      <c r="W62" s="469"/>
      <c r="X62" s="387"/>
      <c r="Y62" s="387"/>
      <c r="Z62" s="387"/>
      <c r="AA62" s="387"/>
    </row>
    <row r="63" spans="1:28" ht="43.2" x14ac:dyDescent="0.3">
      <c r="A63" s="389">
        <v>38</v>
      </c>
      <c r="B63" s="389" t="s">
        <v>241</v>
      </c>
      <c r="C63" s="381" t="s">
        <v>10</v>
      </c>
      <c r="D63" s="382">
        <v>46163</v>
      </c>
      <c r="E63" s="381" t="s">
        <v>97</v>
      </c>
      <c r="F63" s="381"/>
      <c r="G63" s="381" t="s">
        <v>269</v>
      </c>
      <c r="H63" s="383">
        <v>1</v>
      </c>
      <c r="I63" s="389" t="s">
        <v>200</v>
      </c>
      <c r="J63" s="383">
        <v>52.85</v>
      </c>
      <c r="K63" s="384">
        <f t="shared" si="10"/>
        <v>5771.0501419110687</v>
      </c>
      <c r="L63" s="492">
        <v>305000</v>
      </c>
      <c r="M63" s="386"/>
      <c r="N63" s="579">
        <f t="shared" si="9"/>
        <v>305000</v>
      </c>
      <c r="O63" s="387"/>
      <c r="P63" s="387"/>
      <c r="Q63" s="479" t="s">
        <v>32</v>
      </c>
      <c r="R63" s="388"/>
      <c r="S63" s="388"/>
      <c r="T63" s="388"/>
      <c r="U63" s="388"/>
      <c r="V63" s="388"/>
      <c r="W63" s="469"/>
      <c r="X63" s="387"/>
      <c r="Y63" s="387"/>
      <c r="Z63" s="387"/>
      <c r="AA63" s="387"/>
    </row>
    <row r="64" spans="1:28" ht="43.2" x14ac:dyDescent="0.3">
      <c r="A64" s="389">
        <v>39</v>
      </c>
      <c r="B64" s="389" t="s">
        <v>92</v>
      </c>
      <c r="C64" s="381" t="s">
        <v>10</v>
      </c>
      <c r="D64" s="382">
        <v>46163</v>
      </c>
      <c r="E64" s="381" t="s">
        <v>97</v>
      </c>
      <c r="F64" s="381"/>
      <c r="G64" s="381" t="s">
        <v>271</v>
      </c>
      <c r="H64" s="383">
        <v>1</v>
      </c>
      <c r="I64" s="389" t="s">
        <v>267</v>
      </c>
      <c r="J64" s="383">
        <v>52.85</v>
      </c>
      <c r="K64" s="384">
        <f t="shared" si="10"/>
        <v>6622.5165562913908</v>
      </c>
      <c r="L64" s="492">
        <v>350000</v>
      </c>
      <c r="M64" s="386"/>
      <c r="N64" s="579">
        <f t="shared" si="9"/>
        <v>350000</v>
      </c>
      <c r="O64" s="387"/>
      <c r="P64" s="387"/>
      <c r="Q64" s="479" t="s">
        <v>32</v>
      </c>
      <c r="R64" s="388"/>
      <c r="S64" s="388"/>
      <c r="T64" s="388"/>
      <c r="U64" s="388"/>
      <c r="V64" s="388"/>
      <c r="W64" s="469"/>
      <c r="X64" s="387"/>
      <c r="Y64" s="387"/>
      <c r="Z64" s="387"/>
      <c r="AA64" s="387"/>
    </row>
    <row r="65" spans="1:27" ht="28.8" x14ac:dyDescent="0.3">
      <c r="A65" s="389">
        <v>40</v>
      </c>
      <c r="B65" s="389" t="s">
        <v>243</v>
      </c>
      <c r="C65" s="381" t="s">
        <v>242</v>
      </c>
      <c r="D65" s="382">
        <v>46160</v>
      </c>
      <c r="E65" s="381"/>
      <c r="F65" s="381" t="s">
        <v>244</v>
      </c>
      <c r="G65" s="381" t="s">
        <v>270</v>
      </c>
      <c r="H65" s="383">
        <v>1</v>
      </c>
      <c r="I65" s="389" t="s">
        <v>268</v>
      </c>
      <c r="J65" s="383">
        <v>52.85</v>
      </c>
      <c r="K65" s="384">
        <f t="shared" si="10"/>
        <v>225165.56291390728</v>
      </c>
      <c r="L65" s="492">
        <v>11900000</v>
      </c>
      <c r="M65" s="386"/>
      <c r="N65" s="579">
        <f t="shared" si="9"/>
        <v>11900000</v>
      </c>
      <c r="O65" s="387"/>
      <c r="P65" s="387"/>
      <c r="Q65" s="479" t="s">
        <v>232</v>
      </c>
      <c r="R65" s="388"/>
      <c r="S65" s="388"/>
      <c r="T65" s="388"/>
      <c r="U65" s="388"/>
      <c r="V65" s="388"/>
      <c r="W65" s="469"/>
      <c r="X65" s="387"/>
      <c r="Y65" s="387"/>
      <c r="Z65" s="387"/>
      <c r="AA65" s="387"/>
    </row>
    <row r="66" spans="1:27" ht="43.2" x14ac:dyDescent="0.3">
      <c r="A66" s="582">
        <v>42</v>
      </c>
      <c r="B66" s="580" t="s">
        <v>266</v>
      </c>
      <c r="C66" s="381" t="s">
        <v>258</v>
      </c>
      <c r="D66" s="382">
        <v>46160</v>
      </c>
      <c r="E66" s="381" t="s">
        <v>94</v>
      </c>
      <c r="F66" s="381" t="s">
        <v>94</v>
      </c>
      <c r="G66" s="381" t="s">
        <v>94</v>
      </c>
      <c r="H66" s="383">
        <v>10</v>
      </c>
      <c r="I66" s="389" t="s">
        <v>259</v>
      </c>
      <c r="J66" s="383">
        <v>52.85</v>
      </c>
      <c r="K66" s="384">
        <f t="shared" si="10"/>
        <v>935.19394512771999</v>
      </c>
      <c r="L66" s="492">
        <v>49425</v>
      </c>
      <c r="M66" s="386"/>
      <c r="N66" s="579">
        <f>H66*L66</f>
        <v>494250</v>
      </c>
      <c r="O66" s="387"/>
      <c r="P66" s="387"/>
      <c r="Q66" s="479" t="s">
        <v>232</v>
      </c>
      <c r="R66" s="388"/>
      <c r="S66" s="388"/>
      <c r="T66" s="388"/>
      <c r="U66" s="388"/>
      <c r="V66" s="388"/>
      <c r="W66" s="469"/>
      <c r="X66" s="387"/>
      <c r="Y66" s="387"/>
      <c r="Z66" s="387"/>
      <c r="AA66" s="387"/>
    </row>
    <row r="67" spans="1:27" ht="28.8" x14ac:dyDescent="0.3">
      <c r="A67" s="583"/>
      <c r="B67" s="581"/>
      <c r="C67" s="381" t="s">
        <v>258</v>
      </c>
      <c r="D67" s="382">
        <v>46160</v>
      </c>
      <c r="E67" s="381" t="s">
        <v>94</v>
      </c>
      <c r="F67" s="381" t="s">
        <v>94</v>
      </c>
      <c r="G67" s="381" t="s">
        <v>94</v>
      </c>
      <c r="H67" s="383">
        <v>15</v>
      </c>
      <c r="I67" s="381" t="s">
        <v>260</v>
      </c>
      <c r="J67" s="383">
        <v>52.85</v>
      </c>
      <c r="K67" s="384">
        <f t="shared" si="10"/>
        <v>378.42951750236517</v>
      </c>
      <c r="L67" s="492">
        <v>20000</v>
      </c>
      <c r="M67" s="386"/>
      <c r="N67" s="579">
        <f>H67*L67</f>
        <v>300000</v>
      </c>
      <c r="O67" s="387"/>
      <c r="P67" s="387"/>
      <c r="Q67" s="479" t="s">
        <v>232</v>
      </c>
      <c r="R67" s="388"/>
      <c r="S67" s="388"/>
      <c r="T67" s="388"/>
      <c r="U67" s="388"/>
      <c r="V67" s="388"/>
      <c r="W67" s="469"/>
      <c r="X67" s="387"/>
      <c r="Y67" s="387"/>
      <c r="Z67" s="387"/>
      <c r="AA67" s="387"/>
    </row>
    <row r="68" spans="1:27" ht="43.2" x14ac:dyDescent="0.3">
      <c r="A68" s="582">
        <v>43</v>
      </c>
      <c r="B68" s="582" t="s">
        <v>113</v>
      </c>
      <c r="C68" s="381" t="s">
        <v>258</v>
      </c>
      <c r="D68" s="382">
        <v>46158</v>
      </c>
      <c r="E68" s="381"/>
      <c r="F68" s="381"/>
      <c r="G68" s="381" t="s">
        <v>272</v>
      </c>
      <c r="H68" s="383">
        <v>10</v>
      </c>
      <c r="I68" s="389" t="s">
        <v>273</v>
      </c>
      <c r="J68" s="383">
        <v>52.85</v>
      </c>
      <c r="K68" s="384">
        <f t="shared" si="10"/>
        <v>2743.6140018921474</v>
      </c>
      <c r="L68" s="492">
        <v>145000</v>
      </c>
      <c r="M68" s="386"/>
      <c r="N68" s="579">
        <f>H68*L68</f>
        <v>1450000</v>
      </c>
      <c r="O68" s="387"/>
      <c r="P68" s="387"/>
      <c r="Q68" s="479" t="s">
        <v>32</v>
      </c>
      <c r="R68" s="388"/>
      <c r="S68" s="388"/>
      <c r="T68" s="388"/>
      <c r="U68" s="388"/>
      <c r="V68" s="388"/>
      <c r="W68" s="469"/>
      <c r="X68" s="387"/>
      <c r="Y68" s="387"/>
      <c r="Z68" s="387"/>
      <c r="AA68" s="387"/>
    </row>
    <row r="69" spans="1:27" x14ac:dyDescent="0.3">
      <c r="A69" s="583"/>
      <c r="B69" s="583"/>
      <c r="C69" s="381" t="s">
        <v>258</v>
      </c>
      <c r="D69" s="382">
        <v>46158</v>
      </c>
      <c r="E69" s="381"/>
      <c r="F69" s="381"/>
      <c r="G69" s="381" t="s">
        <v>272</v>
      </c>
      <c r="H69" s="383">
        <v>11</v>
      </c>
      <c r="I69" s="381" t="s">
        <v>274</v>
      </c>
      <c r="J69" s="383">
        <v>52.85</v>
      </c>
      <c r="K69" s="384">
        <f t="shared" si="10"/>
        <v>1986.7549668874171</v>
      </c>
      <c r="L69" s="492">
        <v>105000</v>
      </c>
      <c r="M69" s="386"/>
      <c r="N69" s="579">
        <f>H69*L69</f>
        <v>1155000</v>
      </c>
      <c r="O69" s="387"/>
      <c r="P69" s="387"/>
      <c r="Q69" s="479" t="s">
        <v>32</v>
      </c>
      <c r="R69" s="388"/>
      <c r="S69" s="388"/>
      <c r="T69" s="388"/>
      <c r="U69" s="388"/>
      <c r="V69" s="388"/>
      <c r="W69" s="469"/>
      <c r="X69" s="387"/>
      <c r="Y69" s="387"/>
      <c r="Z69" s="387"/>
      <c r="AA69" s="387"/>
    </row>
    <row r="70" spans="1:27" ht="43.2" x14ac:dyDescent="0.3">
      <c r="A70" s="389">
        <v>44</v>
      </c>
      <c r="B70" s="389" t="s">
        <v>277</v>
      </c>
      <c r="C70" s="389" t="s">
        <v>278</v>
      </c>
      <c r="D70" s="382">
        <v>45434</v>
      </c>
      <c r="E70" s="381" t="s">
        <v>279</v>
      </c>
      <c r="F70" s="389" t="s">
        <v>280</v>
      </c>
      <c r="G70" s="381" t="s">
        <v>281</v>
      </c>
      <c r="H70" s="383">
        <v>60</v>
      </c>
      <c r="I70" s="389" t="s">
        <v>282</v>
      </c>
      <c r="J70" s="383">
        <v>52.85</v>
      </c>
      <c r="K70" s="384">
        <f t="shared" si="10"/>
        <v>18448.438978240301</v>
      </c>
      <c r="L70" s="492">
        <v>975000</v>
      </c>
      <c r="M70" s="386"/>
      <c r="N70" s="579">
        <f>H70*L70</f>
        <v>58500000</v>
      </c>
      <c r="O70" s="387"/>
      <c r="P70" s="387"/>
      <c r="Q70" s="383" t="s">
        <v>32</v>
      </c>
      <c r="R70" s="388"/>
      <c r="S70" s="388"/>
      <c r="T70" s="388"/>
    </row>
  </sheetData>
  <autoFilter ref="C1:Z65" xr:uid="{D226CABC-AA53-41C8-B784-BC3F7FFF22CF}">
    <filterColumn colId="15">
      <filters blank="1">
        <dateGroupItem year="2026" dateTimeGrouping="year"/>
      </filters>
    </filterColumn>
  </autoFilter>
  <mergeCells count="30">
    <mergeCell ref="A24:A25"/>
    <mergeCell ref="B36:B39"/>
    <mergeCell ref="A36:A39"/>
    <mergeCell ref="A41:A42"/>
    <mergeCell ref="A3:A4"/>
    <mergeCell ref="B3:B4"/>
    <mergeCell ref="A28:A29"/>
    <mergeCell ref="B28:B29"/>
    <mergeCell ref="B7:B13"/>
    <mergeCell ref="A7:A13"/>
    <mergeCell ref="B14:B17"/>
    <mergeCell ref="A14:A17"/>
    <mergeCell ref="B18:B21"/>
    <mergeCell ref="A18:A21"/>
    <mergeCell ref="B22:B23"/>
    <mergeCell ref="B24:B25"/>
    <mergeCell ref="A22:A23"/>
    <mergeCell ref="B66:B67"/>
    <mergeCell ref="A66:A67"/>
    <mergeCell ref="B68:B69"/>
    <mergeCell ref="A68:A69"/>
    <mergeCell ref="I41:I42"/>
    <mergeCell ref="H41:H42"/>
    <mergeCell ref="B41:B42"/>
    <mergeCell ref="C41:C42"/>
    <mergeCell ref="D41:D42"/>
    <mergeCell ref="E41:E42"/>
    <mergeCell ref="F41:F42"/>
    <mergeCell ref="A56:A57"/>
    <mergeCell ref="B56:B5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55EA11D-E99E-42D0-855D-340C5BFDD0A1}">
          <x14:formula1>
            <xm:f>Sheet4!$A$2:$A$4</xm:f>
          </x14:formula1>
          <xm:sqref>Q2:Q4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8403-CD59-4786-B9B1-96C1137C7A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C372-DE54-48EF-B043-D614BEB43063}">
  <dimension ref="A1:V8"/>
  <sheetViews>
    <sheetView topLeftCell="A8" zoomScale="85" zoomScaleNormal="85" workbookViewId="0">
      <selection activeCell="Q1" sqref="Q1:R1"/>
    </sheetView>
  </sheetViews>
  <sheetFormatPr defaultColWidth="12.88671875" defaultRowHeight="14.4" x14ac:dyDescent="0.3"/>
  <cols>
    <col min="1" max="1" width="7.6640625" customWidth="1"/>
    <col min="2" max="3" width="12.88671875" style="16"/>
    <col min="4" max="4" width="12.33203125" style="16" customWidth="1"/>
    <col min="5" max="5" width="15.33203125" style="16" customWidth="1"/>
    <col min="6" max="6" width="19.33203125" style="16" customWidth="1"/>
    <col min="7" max="7" width="12.88671875" style="17"/>
    <col min="8" max="8" width="21.109375" style="16" customWidth="1"/>
    <col min="9" max="9" width="10.6640625" style="16" customWidth="1"/>
    <col min="10" max="10" width="16.33203125" style="16" bestFit="1" customWidth="1"/>
    <col min="11" max="11" width="12.88671875" style="16"/>
    <col min="12" max="12" width="13.44140625" style="4" bestFit="1" customWidth="1"/>
    <col min="13" max="13" width="15.6640625" bestFit="1" customWidth="1"/>
    <col min="14" max="14" width="14.88671875" customWidth="1"/>
    <col min="16" max="16" width="14.6640625" customWidth="1"/>
    <col min="17" max="18" width="12.88671875" style="10"/>
    <col min="19" max="19" width="13.109375" style="128" bestFit="1" customWidth="1"/>
    <col min="20" max="20" width="14.33203125" bestFit="1" customWidth="1"/>
    <col min="21" max="22" width="13.109375" bestFit="1" customWidth="1"/>
  </cols>
  <sheetData>
    <row r="1" spans="1:22" ht="43.8" thickBot="1" x14ac:dyDescent="0.35">
      <c r="B1" s="116" t="s">
        <v>9</v>
      </c>
      <c r="C1" s="116" t="s">
        <v>11</v>
      </c>
      <c r="D1" s="116" t="s">
        <v>123</v>
      </c>
      <c r="E1" s="116" t="s">
        <v>33</v>
      </c>
      <c r="F1" s="116" t="s">
        <v>0</v>
      </c>
      <c r="G1" s="117" t="s">
        <v>1</v>
      </c>
      <c r="H1" s="116" t="s">
        <v>2</v>
      </c>
      <c r="I1" s="116" t="s">
        <v>126</v>
      </c>
      <c r="J1" s="116" t="s">
        <v>127</v>
      </c>
      <c r="K1" s="116" t="s">
        <v>17</v>
      </c>
      <c r="L1" s="118" t="s">
        <v>18</v>
      </c>
      <c r="M1" s="119" t="s">
        <v>19</v>
      </c>
      <c r="N1" s="119" t="s">
        <v>118</v>
      </c>
      <c r="O1" s="116" t="s">
        <v>12</v>
      </c>
      <c r="P1" s="116" t="s">
        <v>13</v>
      </c>
      <c r="Q1" s="8" t="s">
        <v>20</v>
      </c>
      <c r="R1" s="8" t="s">
        <v>254</v>
      </c>
      <c r="S1" s="126" t="s">
        <v>130</v>
      </c>
      <c r="T1" s="125" t="s">
        <v>131</v>
      </c>
      <c r="U1" s="19" t="s">
        <v>15</v>
      </c>
      <c r="V1" s="19" t="s">
        <v>16</v>
      </c>
    </row>
    <row r="2" spans="1:22" s="103" customFormat="1" ht="30" customHeight="1" x14ac:dyDescent="0.3">
      <c r="A2" s="613" t="s">
        <v>121</v>
      </c>
      <c r="B2" s="161" t="s">
        <v>10</v>
      </c>
      <c r="C2" s="162">
        <v>45983</v>
      </c>
      <c r="D2" s="161"/>
      <c r="E2" s="161" t="s">
        <v>142</v>
      </c>
      <c r="F2" s="161" t="s">
        <v>92</v>
      </c>
      <c r="G2" s="163">
        <v>2</v>
      </c>
      <c r="H2" s="161" t="s">
        <v>93</v>
      </c>
      <c r="I2" s="161">
        <v>50.21</v>
      </c>
      <c r="J2" s="164">
        <f>L2/I2</f>
        <v>5646.2856004779924</v>
      </c>
      <c r="K2" s="165">
        <v>283500</v>
      </c>
      <c r="L2" s="165">
        <v>283500</v>
      </c>
      <c r="M2" s="165">
        <f t="shared" ref="M2:M3" si="0">G2*L2</f>
        <v>567000</v>
      </c>
      <c r="N2" s="165"/>
      <c r="O2" s="165"/>
      <c r="P2" s="183" t="s">
        <v>32</v>
      </c>
      <c r="Q2" s="113"/>
      <c r="R2" s="113"/>
      <c r="S2" s="127"/>
      <c r="T2" s="102"/>
      <c r="U2" s="102"/>
      <c r="V2" s="102"/>
    </row>
    <row r="3" spans="1:22" s="103" customFormat="1" ht="30" customHeight="1" thickBot="1" x14ac:dyDescent="0.35">
      <c r="A3" s="614"/>
      <c r="B3" s="184" t="s">
        <v>10</v>
      </c>
      <c r="C3" s="185">
        <v>45983</v>
      </c>
      <c r="D3" s="184"/>
      <c r="E3" s="184" t="s">
        <v>143</v>
      </c>
      <c r="F3" s="184" t="s">
        <v>92</v>
      </c>
      <c r="G3" s="186">
        <v>1</v>
      </c>
      <c r="H3" s="184" t="s">
        <v>93</v>
      </c>
      <c r="I3" s="184">
        <v>50.21</v>
      </c>
      <c r="J3" s="187">
        <f>M3/I3</f>
        <v>5646.2856004779924</v>
      </c>
      <c r="K3" s="188">
        <v>283500</v>
      </c>
      <c r="L3" s="188">
        <v>283500</v>
      </c>
      <c r="M3" s="188">
        <f t="shared" si="0"/>
        <v>283500</v>
      </c>
      <c r="N3" s="188"/>
      <c r="O3" s="184"/>
      <c r="P3" s="189" t="s">
        <v>32</v>
      </c>
      <c r="Q3" s="113"/>
      <c r="R3" s="113"/>
      <c r="S3" s="127"/>
      <c r="T3" s="102"/>
      <c r="U3" s="102"/>
      <c r="V3" s="102"/>
    </row>
    <row r="4" spans="1:22" s="103" customFormat="1" ht="58.95" customHeight="1" x14ac:dyDescent="0.3">
      <c r="A4" s="613" t="s">
        <v>149</v>
      </c>
      <c r="B4" s="161" t="s">
        <v>10</v>
      </c>
      <c r="C4" s="162">
        <v>45979</v>
      </c>
      <c r="D4" s="232" t="s">
        <v>98</v>
      </c>
      <c r="E4" s="161"/>
      <c r="F4" s="161" t="s">
        <v>144</v>
      </c>
      <c r="G4" s="163">
        <v>10</v>
      </c>
      <c r="H4" s="161" t="s">
        <v>146</v>
      </c>
      <c r="I4" s="161">
        <v>50.21</v>
      </c>
      <c r="J4" s="164">
        <f>K4/I4</f>
        <v>4395.5387373033263</v>
      </c>
      <c r="K4" s="165">
        <v>220700</v>
      </c>
      <c r="L4" s="165"/>
      <c r="M4" s="165">
        <f>G4*K4</f>
        <v>2207000</v>
      </c>
      <c r="N4" s="165"/>
      <c r="O4" s="161"/>
      <c r="P4" s="190" t="s">
        <v>32</v>
      </c>
      <c r="Q4" s="113"/>
      <c r="R4" s="113"/>
      <c r="S4" s="127"/>
      <c r="T4" s="102"/>
      <c r="U4" s="102"/>
      <c r="V4" s="102"/>
    </row>
    <row r="5" spans="1:22" s="103" customFormat="1" ht="57.6" x14ac:dyDescent="0.3">
      <c r="A5" s="615"/>
      <c r="B5" s="133" t="s">
        <v>10</v>
      </c>
      <c r="C5" s="134">
        <v>45979</v>
      </c>
      <c r="D5" s="133" t="s">
        <v>98</v>
      </c>
      <c r="E5" s="133"/>
      <c r="F5" s="133" t="s">
        <v>145</v>
      </c>
      <c r="G5" s="135">
        <v>50</v>
      </c>
      <c r="H5" s="133" t="s">
        <v>147</v>
      </c>
      <c r="I5" s="133">
        <v>50.21</v>
      </c>
      <c r="J5" s="136">
        <f t="shared" ref="J5:J6" si="1">K5/I5</f>
        <v>3718.3827922724558</v>
      </c>
      <c r="K5" s="137">
        <v>186700</v>
      </c>
      <c r="L5" s="137"/>
      <c r="M5" s="137">
        <f>G5*K5</f>
        <v>9335000</v>
      </c>
      <c r="N5" s="137"/>
      <c r="O5" s="133"/>
      <c r="P5" s="189" t="s">
        <v>32</v>
      </c>
      <c r="Q5" s="113"/>
      <c r="R5" s="113"/>
      <c r="S5" s="127"/>
      <c r="T5" s="102"/>
      <c r="U5" s="102"/>
      <c r="V5" s="102"/>
    </row>
    <row r="6" spans="1:22" s="103" customFormat="1" ht="43.8" thickBot="1" x14ac:dyDescent="0.35">
      <c r="A6" s="614"/>
      <c r="B6" s="184" t="s">
        <v>10</v>
      </c>
      <c r="C6" s="185">
        <v>45979</v>
      </c>
      <c r="D6" s="233" t="s">
        <v>98</v>
      </c>
      <c r="E6" s="184"/>
      <c r="F6" s="184" t="s">
        <v>145</v>
      </c>
      <c r="G6" s="186">
        <v>1</v>
      </c>
      <c r="H6" s="184" t="s">
        <v>148</v>
      </c>
      <c r="I6" s="184">
        <v>50.21</v>
      </c>
      <c r="J6" s="187">
        <f t="shared" si="1"/>
        <v>1029.6753634734116</v>
      </c>
      <c r="K6" s="188">
        <v>51700</v>
      </c>
      <c r="L6" s="188"/>
      <c r="M6" s="188">
        <f>G6*K6</f>
        <v>51700</v>
      </c>
      <c r="N6" s="188"/>
      <c r="O6" s="184"/>
      <c r="P6" s="189" t="s">
        <v>32</v>
      </c>
      <c r="Q6" s="113"/>
      <c r="R6" s="113"/>
      <c r="S6" s="127"/>
      <c r="T6" s="102"/>
      <c r="U6" s="102"/>
      <c r="V6" s="102"/>
    </row>
    <row r="7" spans="1:22" ht="100.2" customHeight="1" thickBot="1" x14ac:dyDescent="0.35">
      <c r="A7" s="613" t="s">
        <v>159</v>
      </c>
      <c r="B7" s="222" t="s">
        <v>10</v>
      </c>
      <c r="C7" s="230">
        <v>46035</v>
      </c>
      <c r="D7" s="231" t="s">
        <v>160</v>
      </c>
      <c r="E7" s="222"/>
      <c r="F7" s="161" t="s">
        <v>155</v>
      </c>
      <c r="G7" s="221">
        <v>1000</v>
      </c>
      <c r="H7" s="161" t="s">
        <v>157</v>
      </c>
      <c r="I7" s="221">
        <v>50.39</v>
      </c>
      <c r="J7" s="222"/>
      <c r="K7" s="222"/>
      <c r="L7" s="223"/>
      <c r="M7" s="224"/>
      <c r="N7" s="224"/>
      <c r="O7" s="224"/>
      <c r="P7" s="183" t="s">
        <v>32</v>
      </c>
    </row>
    <row r="8" spans="1:22" ht="72.599999999999994" thickBot="1" x14ac:dyDescent="0.35">
      <c r="A8" s="615"/>
      <c r="B8" s="227" t="s">
        <v>10</v>
      </c>
      <c r="C8" s="230">
        <v>46035</v>
      </c>
      <c r="D8" s="231" t="s">
        <v>160</v>
      </c>
      <c r="E8" s="227"/>
      <c r="F8" s="169" t="s">
        <v>156</v>
      </c>
      <c r="G8" s="226">
        <v>500</v>
      </c>
      <c r="H8" s="169" t="s">
        <v>158</v>
      </c>
      <c r="I8" s="226">
        <v>50.39</v>
      </c>
      <c r="J8" s="227"/>
      <c r="K8" s="227"/>
      <c r="L8" s="228"/>
      <c r="M8" s="229"/>
      <c r="N8" s="229"/>
      <c r="O8" s="229"/>
      <c r="P8" s="191" t="s">
        <v>32</v>
      </c>
    </row>
  </sheetData>
  <autoFilter ref="B1:V6" xr:uid="{D226CABC-AA53-41C8-B784-BC3F7FFF22CF}"/>
  <mergeCells count="3">
    <mergeCell ref="A2:A3"/>
    <mergeCell ref="A4:A6"/>
    <mergeCell ref="A7:A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CABC-AA53-41C8-B784-BC3F7FFF22CF}">
  <dimension ref="A1:Z135"/>
  <sheetViews>
    <sheetView topLeftCell="J7" zoomScale="85" zoomScaleNormal="85" workbookViewId="0">
      <selection activeCell="A11" sqref="A11:Z14"/>
    </sheetView>
  </sheetViews>
  <sheetFormatPr defaultColWidth="12.88671875" defaultRowHeight="14.4" x14ac:dyDescent="0.3"/>
  <cols>
    <col min="1" max="1" width="5.109375" customWidth="1"/>
    <col min="2" max="2" width="8.88671875" customWidth="1"/>
    <col min="3" max="4" width="12.88671875" style="16"/>
    <col min="5" max="5" width="11.33203125" style="16" customWidth="1"/>
    <col min="6" max="6" width="15.33203125" style="16" customWidth="1"/>
    <col min="7" max="7" width="19.33203125" style="16" customWidth="1"/>
    <col min="8" max="8" width="12.88671875" style="17"/>
    <col min="9" max="9" width="17.6640625" style="16" customWidth="1"/>
    <col min="10" max="10" width="10.6640625" style="16" customWidth="1"/>
    <col min="11" max="11" width="16.33203125" style="16" bestFit="1" customWidth="1"/>
    <col min="12" max="12" width="12.88671875" style="16"/>
    <col min="13" max="13" width="17" style="4" bestFit="1" customWidth="1"/>
    <col min="14" max="14" width="15.6640625" bestFit="1" customWidth="1"/>
    <col min="15" max="15" width="14.88671875" customWidth="1"/>
    <col min="17" max="17" width="11.5546875" customWidth="1"/>
    <col min="18" max="20" width="12.88671875" style="10"/>
    <col min="21" max="21" width="14.33203125" style="10" customWidth="1"/>
    <col min="22" max="22" width="13.109375" style="128" bestFit="1" customWidth="1"/>
    <col min="23" max="23" width="14.33203125" bestFit="1" customWidth="1"/>
    <col min="24" max="25" width="13.109375" bestFit="1" customWidth="1"/>
    <col min="26" max="26" width="16" customWidth="1"/>
  </cols>
  <sheetData>
    <row r="1" spans="1:26" ht="43.8" thickBot="1" x14ac:dyDescent="0.35">
      <c r="A1" s="116" t="s">
        <v>134</v>
      </c>
      <c r="B1" s="116" t="s">
        <v>135</v>
      </c>
      <c r="C1" s="116" t="s">
        <v>9</v>
      </c>
      <c r="D1" s="116" t="s">
        <v>11</v>
      </c>
      <c r="E1" s="116" t="s">
        <v>123</v>
      </c>
      <c r="F1" s="116" t="s">
        <v>33</v>
      </c>
      <c r="G1" s="116" t="s">
        <v>0</v>
      </c>
      <c r="H1" s="117" t="s">
        <v>1</v>
      </c>
      <c r="I1" s="116" t="s">
        <v>2</v>
      </c>
      <c r="J1" s="116" t="s">
        <v>126</v>
      </c>
      <c r="K1" s="116" t="s">
        <v>127</v>
      </c>
      <c r="L1" s="116" t="s">
        <v>17</v>
      </c>
      <c r="M1" s="118" t="s">
        <v>18</v>
      </c>
      <c r="N1" s="119" t="s">
        <v>19</v>
      </c>
      <c r="O1" s="119" t="s">
        <v>118</v>
      </c>
      <c r="P1" s="116" t="s">
        <v>12</v>
      </c>
      <c r="Q1" s="116" t="s">
        <v>13</v>
      </c>
      <c r="R1" s="132" t="s">
        <v>20</v>
      </c>
      <c r="S1" s="132" t="s">
        <v>141</v>
      </c>
      <c r="T1" s="132" t="s">
        <v>132</v>
      </c>
      <c r="U1" s="132" t="s">
        <v>133</v>
      </c>
      <c r="V1" s="139" t="s">
        <v>130</v>
      </c>
      <c r="W1" s="140" t="s">
        <v>131</v>
      </c>
      <c r="X1" s="141" t="s">
        <v>15</v>
      </c>
      <c r="Y1" s="141" t="s">
        <v>16</v>
      </c>
      <c r="Z1" s="177" t="s">
        <v>140</v>
      </c>
    </row>
    <row r="2" spans="1:26" s="103" customFormat="1" ht="29.4" thickBot="1" x14ac:dyDescent="0.35">
      <c r="A2" s="142">
        <v>1</v>
      </c>
      <c r="B2" s="143" t="s">
        <v>136</v>
      </c>
      <c r="C2" s="120" t="s">
        <v>10</v>
      </c>
      <c r="D2" s="121">
        <v>45651</v>
      </c>
      <c r="E2" s="121" t="s">
        <v>97</v>
      </c>
      <c r="F2" s="120" t="s">
        <v>91</v>
      </c>
      <c r="G2" s="120" t="s">
        <v>92</v>
      </c>
      <c r="H2" s="122">
        <v>1</v>
      </c>
      <c r="I2" s="120" t="s">
        <v>93</v>
      </c>
      <c r="J2" s="120">
        <v>36.78</v>
      </c>
      <c r="K2" s="123">
        <f>M2/J2</f>
        <v>5220.2283849918431</v>
      </c>
      <c r="L2" s="124">
        <v>192000</v>
      </c>
      <c r="M2" s="124">
        <v>192000</v>
      </c>
      <c r="N2" s="124">
        <v>192000</v>
      </c>
      <c r="O2" s="124"/>
      <c r="P2" s="121">
        <v>45651</v>
      </c>
      <c r="Q2" s="144" t="s">
        <v>30</v>
      </c>
      <c r="R2" s="182">
        <v>45753</v>
      </c>
      <c r="S2" s="145"/>
      <c r="T2" s="145"/>
      <c r="U2" s="145"/>
      <c r="V2" s="146"/>
      <c r="W2" s="147">
        <v>225306</v>
      </c>
      <c r="X2" s="148"/>
      <c r="Y2" s="209"/>
      <c r="Z2" s="207"/>
    </row>
    <row r="3" spans="1:26" s="103" customFormat="1" ht="43.8" thickBot="1" x14ac:dyDescent="0.35">
      <c r="A3" s="149">
        <v>2</v>
      </c>
      <c r="B3" s="150" t="s">
        <v>65</v>
      </c>
      <c r="C3" s="151" t="s">
        <v>10</v>
      </c>
      <c r="D3" s="152">
        <v>45754</v>
      </c>
      <c r="E3" s="151" t="s">
        <v>97</v>
      </c>
      <c r="F3" s="151" t="s">
        <v>98</v>
      </c>
      <c r="G3" s="151" t="s">
        <v>99</v>
      </c>
      <c r="H3" s="153">
        <v>100</v>
      </c>
      <c r="I3" s="151" t="s">
        <v>100</v>
      </c>
      <c r="J3" s="151">
        <v>41.79</v>
      </c>
      <c r="K3" s="154">
        <f>M3/J3</f>
        <v>2081.8377602297201</v>
      </c>
      <c r="L3" s="155">
        <v>87000</v>
      </c>
      <c r="M3" s="155">
        <v>87000</v>
      </c>
      <c r="N3" s="155">
        <f t="shared" ref="N3:N10" si="0">H3*M3</f>
        <v>8700000</v>
      </c>
      <c r="O3" s="155">
        <f>H3*W3</f>
        <v>4480000</v>
      </c>
      <c r="P3" s="152">
        <v>45803</v>
      </c>
      <c r="Q3" s="155" t="s">
        <v>30</v>
      </c>
      <c r="R3" s="156">
        <v>45873</v>
      </c>
      <c r="S3" s="156"/>
      <c r="T3" s="156"/>
      <c r="U3" s="156"/>
      <c r="V3" s="157">
        <v>48050</v>
      </c>
      <c r="W3" s="158">
        <v>44800</v>
      </c>
      <c r="X3" s="158" t="s">
        <v>128</v>
      </c>
      <c r="Y3" s="210" t="s">
        <v>129</v>
      </c>
      <c r="Z3" s="207"/>
    </row>
    <row r="4" spans="1:26" s="103" customFormat="1" ht="46.95" customHeight="1" thickBot="1" x14ac:dyDescent="0.35">
      <c r="A4" s="142">
        <v>3</v>
      </c>
      <c r="B4" s="144" t="s">
        <v>65</v>
      </c>
      <c r="C4" s="120" t="s">
        <v>10</v>
      </c>
      <c r="D4" s="121">
        <v>45887</v>
      </c>
      <c r="E4" s="120" t="s">
        <v>97</v>
      </c>
      <c r="F4" s="120" t="s">
        <v>98</v>
      </c>
      <c r="G4" s="120" t="s">
        <v>154</v>
      </c>
      <c r="H4" s="122">
        <v>15</v>
      </c>
      <c r="I4" s="120" t="s">
        <v>100</v>
      </c>
      <c r="J4" s="120">
        <v>47.83</v>
      </c>
      <c r="K4" s="123">
        <f t="shared" ref="K4:K14" si="1">M4/J4</f>
        <v>1923.4789880827932</v>
      </c>
      <c r="L4" s="124">
        <v>95000</v>
      </c>
      <c r="M4" s="124">
        <v>92000</v>
      </c>
      <c r="N4" s="124">
        <f t="shared" si="0"/>
        <v>1380000</v>
      </c>
      <c r="O4" s="124">
        <f>W4*H4</f>
        <v>642000</v>
      </c>
      <c r="P4" s="120"/>
      <c r="Q4" s="120" t="s">
        <v>30</v>
      </c>
      <c r="R4" s="181">
        <v>45986</v>
      </c>
      <c r="S4" s="181">
        <v>46010</v>
      </c>
      <c r="T4" s="159"/>
      <c r="U4" s="159"/>
      <c r="V4" s="160">
        <v>42800</v>
      </c>
      <c r="W4" s="160">
        <v>42800</v>
      </c>
      <c r="X4" s="160" t="s">
        <v>128</v>
      </c>
      <c r="Y4" s="211" t="s">
        <v>129</v>
      </c>
      <c r="Z4" s="207"/>
    </row>
    <row r="5" spans="1:26" s="103" customFormat="1" ht="33" customHeight="1" x14ac:dyDescent="0.3">
      <c r="A5" s="603">
        <v>4</v>
      </c>
      <c r="B5" s="600" t="s">
        <v>122</v>
      </c>
      <c r="C5" s="161" t="s">
        <v>10</v>
      </c>
      <c r="D5" s="162">
        <v>45925</v>
      </c>
      <c r="E5" s="161" t="s">
        <v>110</v>
      </c>
      <c r="F5" s="161" t="s">
        <v>110</v>
      </c>
      <c r="G5" s="161" t="s">
        <v>111</v>
      </c>
      <c r="H5" s="163">
        <v>47</v>
      </c>
      <c r="I5" s="161" t="s">
        <v>114</v>
      </c>
      <c r="J5" s="161">
        <v>48.76</v>
      </c>
      <c r="K5" s="164">
        <f t="shared" si="1"/>
        <v>2378.9991796554555</v>
      </c>
      <c r="L5" s="165">
        <v>116000</v>
      </c>
      <c r="M5" s="165">
        <v>116000</v>
      </c>
      <c r="N5" s="165">
        <f t="shared" si="0"/>
        <v>5452000</v>
      </c>
      <c r="O5" s="165">
        <f>W5*H5</f>
        <v>2965484.27</v>
      </c>
      <c r="P5" s="161"/>
      <c r="Q5" s="161" t="s">
        <v>30</v>
      </c>
      <c r="R5" s="178">
        <v>46009</v>
      </c>
      <c r="S5" s="166"/>
      <c r="T5" s="166"/>
      <c r="U5" s="218">
        <v>46008</v>
      </c>
      <c r="V5" s="167">
        <v>64043.71</v>
      </c>
      <c r="W5" s="192">
        <v>63095.41</v>
      </c>
      <c r="X5" s="168" t="s">
        <v>128</v>
      </c>
      <c r="Y5" s="212" t="s">
        <v>129</v>
      </c>
      <c r="Z5" s="207"/>
    </row>
    <row r="6" spans="1:26" s="103" customFormat="1" ht="43.2" customHeight="1" x14ac:dyDescent="0.3">
      <c r="A6" s="604"/>
      <c r="B6" s="601"/>
      <c r="C6" s="133" t="s">
        <v>10</v>
      </c>
      <c r="D6" s="134">
        <v>45925</v>
      </c>
      <c r="E6" s="133" t="s">
        <v>110</v>
      </c>
      <c r="F6" s="133" t="s">
        <v>110</v>
      </c>
      <c r="G6" s="133" t="s">
        <v>112</v>
      </c>
      <c r="H6" s="135">
        <v>24</v>
      </c>
      <c r="I6" s="133" t="s">
        <v>114</v>
      </c>
      <c r="J6" s="133">
        <v>48.76</v>
      </c>
      <c r="K6" s="136">
        <f t="shared" si="1"/>
        <v>2378.9991796554555</v>
      </c>
      <c r="L6" s="137">
        <v>116000</v>
      </c>
      <c r="M6" s="137">
        <v>116000</v>
      </c>
      <c r="N6" s="137">
        <f t="shared" si="0"/>
        <v>2784000</v>
      </c>
      <c r="O6" s="137">
        <f>W6*H6</f>
        <v>1514289.84</v>
      </c>
      <c r="P6" s="133"/>
      <c r="Q6" s="133" t="s">
        <v>30</v>
      </c>
      <c r="R6" s="180">
        <v>46009</v>
      </c>
      <c r="S6" s="138"/>
      <c r="T6" s="138"/>
      <c r="U6" s="219">
        <v>46008</v>
      </c>
      <c r="V6" s="131">
        <v>64043.71</v>
      </c>
      <c r="W6" s="193">
        <v>63095.41</v>
      </c>
      <c r="X6" s="104" t="s">
        <v>128</v>
      </c>
      <c r="Y6" s="213" t="s">
        <v>129</v>
      </c>
      <c r="Z6" s="207"/>
    </row>
    <row r="7" spans="1:26" s="103" customFormat="1" ht="33" customHeight="1" x14ac:dyDescent="0.3">
      <c r="A7" s="604"/>
      <c r="B7" s="601"/>
      <c r="C7" s="133" t="s">
        <v>10</v>
      </c>
      <c r="D7" s="134">
        <v>45925</v>
      </c>
      <c r="E7" s="133" t="s">
        <v>110</v>
      </c>
      <c r="F7" s="133" t="s">
        <v>110</v>
      </c>
      <c r="G7" s="133" t="s">
        <v>113</v>
      </c>
      <c r="H7" s="135">
        <v>25</v>
      </c>
      <c r="I7" s="133" t="s">
        <v>115</v>
      </c>
      <c r="J7" s="133">
        <v>48.76</v>
      </c>
      <c r="K7" s="136">
        <f t="shared" si="1"/>
        <v>2091.8785890073832</v>
      </c>
      <c r="L7" s="137">
        <v>102000</v>
      </c>
      <c r="M7" s="137">
        <v>102000</v>
      </c>
      <c r="N7" s="137">
        <f t="shared" si="0"/>
        <v>2550000</v>
      </c>
      <c r="O7" s="137">
        <f>W7*H7</f>
        <v>1237279.75</v>
      </c>
      <c r="P7" s="133"/>
      <c r="Q7" s="133" t="s">
        <v>30</v>
      </c>
      <c r="R7" s="180">
        <v>46009</v>
      </c>
      <c r="S7" s="138"/>
      <c r="T7" s="138"/>
      <c r="U7" s="219">
        <v>46008</v>
      </c>
      <c r="V7" s="131">
        <v>51241.24</v>
      </c>
      <c r="W7" s="194">
        <v>49491.19</v>
      </c>
      <c r="X7" s="104" t="s">
        <v>128</v>
      </c>
      <c r="Y7" s="213" t="s">
        <v>129</v>
      </c>
      <c r="Z7" s="207"/>
    </row>
    <row r="8" spans="1:26" s="103" customFormat="1" ht="33" customHeight="1" thickBot="1" x14ac:dyDescent="0.35">
      <c r="A8" s="605"/>
      <c r="B8" s="602"/>
      <c r="C8" s="169" t="s">
        <v>10</v>
      </c>
      <c r="D8" s="170">
        <v>45925</v>
      </c>
      <c r="E8" s="169" t="s">
        <v>110</v>
      </c>
      <c r="F8" s="169" t="s">
        <v>110</v>
      </c>
      <c r="G8" s="169" t="s">
        <v>113</v>
      </c>
      <c r="H8" s="171">
        <v>25</v>
      </c>
      <c r="I8" s="169" t="s">
        <v>116</v>
      </c>
      <c r="J8" s="169">
        <v>48.76</v>
      </c>
      <c r="K8" s="172">
        <f t="shared" si="1"/>
        <v>2153.4044298605413</v>
      </c>
      <c r="L8" s="173">
        <v>105000</v>
      </c>
      <c r="M8" s="173">
        <v>105000</v>
      </c>
      <c r="N8" s="173">
        <f t="shared" si="0"/>
        <v>2625000</v>
      </c>
      <c r="O8" s="173">
        <f>W8*H8</f>
        <v>1276754</v>
      </c>
      <c r="P8" s="169"/>
      <c r="Q8" s="169" t="s">
        <v>30</v>
      </c>
      <c r="R8" s="179">
        <v>46009</v>
      </c>
      <c r="S8" s="174"/>
      <c r="T8" s="174"/>
      <c r="U8" s="217">
        <v>46008</v>
      </c>
      <c r="V8" s="175">
        <v>52820.21</v>
      </c>
      <c r="W8" s="195">
        <v>51070.16</v>
      </c>
      <c r="X8" s="176" t="s">
        <v>128</v>
      </c>
      <c r="Y8" s="214" t="s">
        <v>129</v>
      </c>
      <c r="Z8" s="207"/>
    </row>
    <row r="9" spans="1:26" s="103" customFormat="1" ht="51.6" customHeight="1" thickBot="1" x14ac:dyDescent="0.35">
      <c r="A9" s="196">
        <v>5</v>
      </c>
      <c r="B9" s="197" t="s">
        <v>137</v>
      </c>
      <c r="C9" s="198" t="s">
        <v>10</v>
      </c>
      <c r="D9" s="199">
        <v>45916</v>
      </c>
      <c r="E9" s="198" t="s">
        <v>98</v>
      </c>
      <c r="F9" s="198" t="s">
        <v>138</v>
      </c>
      <c r="G9" s="198" t="s">
        <v>150</v>
      </c>
      <c r="H9" s="200">
        <v>12</v>
      </c>
      <c r="I9" s="198" t="s">
        <v>139</v>
      </c>
      <c r="J9" s="198">
        <v>50.2</v>
      </c>
      <c r="K9" s="201">
        <f t="shared" si="1"/>
        <v>3719.1235059760952</v>
      </c>
      <c r="L9" s="202">
        <v>186700</v>
      </c>
      <c r="M9" s="201">
        <v>186700</v>
      </c>
      <c r="N9" s="202">
        <f t="shared" si="0"/>
        <v>2240400</v>
      </c>
      <c r="O9" s="202"/>
      <c r="P9" s="199">
        <v>46007</v>
      </c>
      <c r="Q9" s="198" t="s">
        <v>30</v>
      </c>
      <c r="R9" s="327">
        <v>46015</v>
      </c>
      <c r="S9" s="203"/>
      <c r="T9" s="178"/>
      <c r="U9" s="216">
        <v>46022</v>
      </c>
      <c r="V9" s="204"/>
      <c r="W9" s="205"/>
      <c r="X9" s="205"/>
      <c r="Y9" s="208"/>
      <c r="Z9" s="215" t="s">
        <v>153</v>
      </c>
    </row>
    <row r="10" spans="1:26" ht="43.2" customHeight="1" thickBot="1" x14ac:dyDescent="0.35">
      <c r="A10" s="328">
        <v>6</v>
      </c>
      <c r="B10" s="329" t="s">
        <v>137</v>
      </c>
      <c r="C10" s="330" t="s">
        <v>10</v>
      </c>
      <c r="D10" s="331">
        <v>45919</v>
      </c>
      <c r="E10" s="330" t="s">
        <v>98</v>
      </c>
      <c r="F10" s="330"/>
      <c r="G10" s="184" t="s">
        <v>151</v>
      </c>
      <c r="H10" s="328">
        <v>10</v>
      </c>
      <c r="I10" s="184" t="s">
        <v>139</v>
      </c>
      <c r="J10" s="330">
        <v>50.54</v>
      </c>
      <c r="K10" s="187">
        <f t="shared" si="1"/>
        <v>3126.2366442421844</v>
      </c>
      <c r="L10" s="188">
        <v>169000</v>
      </c>
      <c r="M10" s="188">
        <v>158000</v>
      </c>
      <c r="N10" s="188">
        <f t="shared" si="0"/>
        <v>1580000</v>
      </c>
      <c r="O10" s="332"/>
      <c r="P10" s="333">
        <v>46022</v>
      </c>
      <c r="Q10" s="334" t="s">
        <v>30</v>
      </c>
      <c r="R10" s="335"/>
      <c r="S10" s="336"/>
      <c r="T10" s="336"/>
      <c r="U10" s="336"/>
      <c r="V10" s="342"/>
      <c r="W10" s="343"/>
      <c r="X10" s="343"/>
      <c r="Y10" s="344"/>
      <c r="Z10" s="345" t="s">
        <v>152</v>
      </c>
    </row>
    <row r="11" spans="1:26" ht="35.4" customHeight="1" x14ac:dyDescent="0.3">
      <c r="A11" s="609">
        <v>7</v>
      </c>
      <c r="B11" s="606" t="s">
        <v>163</v>
      </c>
      <c r="C11" s="242" t="s">
        <v>10</v>
      </c>
      <c r="D11" s="243">
        <v>45925</v>
      </c>
      <c r="E11" s="242" t="s">
        <v>110</v>
      </c>
      <c r="F11" s="242" t="s">
        <v>110</v>
      </c>
      <c r="G11" s="242" t="s">
        <v>111</v>
      </c>
      <c r="H11" s="244">
        <v>10</v>
      </c>
      <c r="I11" s="242" t="s">
        <v>114</v>
      </c>
      <c r="J11" s="346">
        <v>52.11</v>
      </c>
      <c r="K11" s="245">
        <f t="shared" si="1"/>
        <v>2226.06025714834</v>
      </c>
      <c r="L11" s="246">
        <v>116000</v>
      </c>
      <c r="M11" s="246">
        <v>116000</v>
      </c>
      <c r="N11" s="246">
        <f>H11*M11</f>
        <v>1160000</v>
      </c>
      <c r="O11" s="347"/>
      <c r="P11" s="348">
        <v>46050</v>
      </c>
      <c r="Q11" s="347" t="s">
        <v>30</v>
      </c>
      <c r="R11" s="349"/>
      <c r="S11" s="349"/>
      <c r="T11" s="350">
        <v>46096</v>
      </c>
      <c r="U11" s="349"/>
      <c r="V11" s="351"/>
      <c r="W11" s="224"/>
      <c r="X11" s="224"/>
      <c r="Y11" s="224"/>
      <c r="Z11" s="352"/>
    </row>
    <row r="12" spans="1:26" ht="35.4" customHeight="1" x14ac:dyDescent="0.3">
      <c r="A12" s="610"/>
      <c r="B12" s="607"/>
      <c r="C12" s="239" t="s">
        <v>10</v>
      </c>
      <c r="D12" s="247">
        <v>45925</v>
      </c>
      <c r="E12" s="239" t="s">
        <v>110</v>
      </c>
      <c r="F12" s="239" t="s">
        <v>110</v>
      </c>
      <c r="G12" s="239" t="s">
        <v>112</v>
      </c>
      <c r="H12" s="248">
        <v>4</v>
      </c>
      <c r="I12" s="239" t="s">
        <v>114</v>
      </c>
      <c r="J12" s="337">
        <v>52.11</v>
      </c>
      <c r="K12" s="240">
        <f t="shared" si="1"/>
        <v>2226.06025714834</v>
      </c>
      <c r="L12" s="241">
        <v>116000</v>
      </c>
      <c r="M12" s="241">
        <v>116000</v>
      </c>
      <c r="N12" s="241">
        <f t="shared" ref="N12:N14" si="2">H12*M12</f>
        <v>464000</v>
      </c>
      <c r="O12" s="338"/>
      <c r="P12" s="340">
        <v>46050</v>
      </c>
      <c r="Q12" s="338" t="s">
        <v>30</v>
      </c>
      <c r="R12" s="339"/>
      <c r="S12" s="339"/>
      <c r="T12" s="341">
        <v>46096</v>
      </c>
      <c r="U12" s="339"/>
      <c r="V12" s="206"/>
      <c r="W12" s="1"/>
      <c r="X12" s="1"/>
      <c r="Y12" s="1"/>
      <c r="Z12" s="353"/>
    </row>
    <row r="13" spans="1:26" ht="35.4" customHeight="1" x14ac:dyDescent="0.3">
      <c r="A13" s="610"/>
      <c r="B13" s="607"/>
      <c r="C13" s="239" t="s">
        <v>10</v>
      </c>
      <c r="D13" s="247">
        <v>45925</v>
      </c>
      <c r="E13" s="239" t="s">
        <v>110</v>
      </c>
      <c r="F13" s="239" t="s">
        <v>110</v>
      </c>
      <c r="G13" s="239" t="s">
        <v>113</v>
      </c>
      <c r="H13" s="248">
        <v>5</v>
      </c>
      <c r="I13" s="239" t="s">
        <v>115</v>
      </c>
      <c r="J13" s="337">
        <v>52.11</v>
      </c>
      <c r="K13" s="240">
        <f t="shared" si="1"/>
        <v>1957.397812320092</v>
      </c>
      <c r="L13" s="241">
        <v>102000</v>
      </c>
      <c r="M13" s="241">
        <v>102000</v>
      </c>
      <c r="N13" s="241">
        <f t="shared" si="2"/>
        <v>510000</v>
      </c>
      <c r="O13" s="338"/>
      <c r="P13" s="340">
        <v>46050</v>
      </c>
      <c r="Q13" s="338" t="s">
        <v>30</v>
      </c>
      <c r="R13" s="339"/>
      <c r="S13" s="339"/>
      <c r="T13" s="341">
        <v>46096</v>
      </c>
      <c r="U13" s="339"/>
      <c r="V13" s="206"/>
      <c r="W13" s="1"/>
      <c r="X13" s="1"/>
      <c r="Y13" s="1"/>
      <c r="Z13" s="353"/>
    </row>
    <row r="14" spans="1:26" ht="35.4" customHeight="1" thickBot="1" x14ac:dyDescent="0.35">
      <c r="A14" s="611"/>
      <c r="B14" s="608"/>
      <c r="C14" s="249" t="s">
        <v>10</v>
      </c>
      <c r="D14" s="250">
        <v>45925</v>
      </c>
      <c r="E14" s="249" t="s">
        <v>110</v>
      </c>
      <c r="F14" s="249" t="s">
        <v>110</v>
      </c>
      <c r="G14" s="249" t="s">
        <v>113</v>
      </c>
      <c r="H14" s="251">
        <v>5</v>
      </c>
      <c r="I14" s="249" t="s">
        <v>116</v>
      </c>
      <c r="J14" s="270">
        <v>52.11</v>
      </c>
      <c r="K14" s="252">
        <f t="shared" si="1"/>
        <v>2014.9683362118597</v>
      </c>
      <c r="L14" s="253">
        <v>105000</v>
      </c>
      <c r="M14" s="253">
        <v>105000</v>
      </c>
      <c r="N14" s="253">
        <f t="shared" si="2"/>
        <v>525000</v>
      </c>
      <c r="O14" s="272"/>
      <c r="P14" s="354">
        <v>46050</v>
      </c>
      <c r="Q14" s="272" t="s">
        <v>30</v>
      </c>
      <c r="R14" s="311"/>
      <c r="S14" s="311"/>
      <c r="T14" s="355">
        <v>46096</v>
      </c>
      <c r="U14" s="311"/>
      <c r="V14" s="356"/>
      <c r="W14" s="229"/>
      <c r="X14" s="229"/>
      <c r="Y14" s="229"/>
      <c r="Z14" s="357"/>
    </row>
    <row r="22" spans="4:13" x14ac:dyDescent="0.3">
      <c r="D22"/>
      <c r="H22" s="16"/>
      <c r="J22" s="17"/>
      <c r="M22" s="16"/>
    </row>
    <row r="23" spans="4:13" x14ac:dyDescent="0.3">
      <c r="D23"/>
      <c r="H23" s="16"/>
      <c r="J23" s="17"/>
      <c r="M23" s="16"/>
    </row>
    <row r="24" spans="4:13" x14ac:dyDescent="0.3">
      <c r="D24"/>
      <c r="H24" s="16"/>
      <c r="J24" s="17"/>
      <c r="M24" s="16"/>
    </row>
    <row r="25" spans="4:13" x14ac:dyDescent="0.3">
      <c r="D25"/>
      <c r="H25" s="16"/>
      <c r="J25" s="17"/>
      <c r="M25" s="16"/>
    </row>
    <row r="26" spans="4:13" x14ac:dyDescent="0.3">
      <c r="D26"/>
      <c r="H26" s="16"/>
      <c r="J26" s="17"/>
      <c r="M26" s="16"/>
    </row>
    <row r="27" spans="4:13" x14ac:dyDescent="0.3">
      <c r="D27"/>
      <c r="H27" s="16"/>
      <c r="J27" s="17"/>
      <c r="M27" s="16"/>
    </row>
    <row r="28" spans="4:13" x14ac:dyDescent="0.3">
      <c r="D28"/>
      <c r="H28" s="16"/>
      <c r="J28" s="17"/>
      <c r="M28" s="16"/>
    </row>
    <row r="29" spans="4:13" x14ac:dyDescent="0.3">
      <c r="D29"/>
      <c r="H29" s="16"/>
      <c r="J29" s="17"/>
      <c r="M29" s="16"/>
    </row>
    <row r="30" spans="4:13" x14ac:dyDescent="0.3">
      <c r="D30"/>
      <c r="H30" s="16"/>
      <c r="J30" s="17"/>
      <c r="M30" s="16"/>
    </row>
    <row r="31" spans="4:13" x14ac:dyDescent="0.3">
      <c r="D31"/>
      <c r="H31" s="16"/>
      <c r="J31" s="17"/>
      <c r="M31" s="16"/>
    </row>
    <row r="32" spans="4:13" x14ac:dyDescent="0.3">
      <c r="D32"/>
      <c r="H32" s="16"/>
      <c r="J32" s="17"/>
      <c r="M32" s="16"/>
    </row>
    <row r="33" spans="4:13" x14ac:dyDescent="0.3">
      <c r="D33"/>
      <c r="H33" s="16"/>
      <c r="J33" s="17"/>
      <c r="M33" s="16"/>
    </row>
    <row r="34" spans="4:13" x14ac:dyDescent="0.3">
      <c r="D34"/>
      <c r="H34" s="16"/>
      <c r="J34" s="17"/>
      <c r="M34" s="16"/>
    </row>
    <row r="35" spans="4:13" x14ac:dyDescent="0.3">
      <c r="D35"/>
      <c r="H35" s="16"/>
      <c r="J35" s="17"/>
      <c r="M35" s="16"/>
    </row>
    <row r="36" spans="4:13" x14ac:dyDescent="0.3">
      <c r="D36"/>
      <c r="H36" s="16"/>
      <c r="J36" s="17"/>
      <c r="M36" s="16"/>
    </row>
    <row r="37" spans="4:13" x14ac:dyDescent="0.3">
      <c r="D37"/>
      <c r="H37" s="16"/>
      <c r="J37" s="17"/>
      <c r="M37" s="16"/>
    </row>
    <row r="38" spans="4:13" x14ac:dyDescent="0.3">
      <c r="D38"/>
      <c r="H38" s="16"/>
      <c r="J38" s="17"/>
      <c r="M38" s="16"/>
    </row>
    <row r="39" spans="4:13" x14ac:dyDescent="0.3">
      <c r="D39"/>
      <c r="H39" s="16"/>
      <c r="J39" s="17"/>
      <c r="M39" s="16"/>
    </row>
    <row r="40" spans="4:13" x14ac:dyDescent="0.3">
      <c r="D40"/>
      <c r="H40" s="16"/>
      <c r="J40" s="17"/>
      <c r="M40" s="16"/>
    </row>
    <row r="41" spans="4:13" x14ac:dyDescent="0.3">
      <c r="D41"/>
      <c r="H41" s="16"/>
      <c r="J41" s="17"/>
      <c r="M41" s="16"/>
    </row>
    <row r="42" spans="4:13" x14ac:dyDescent="0.3">
      <c r="D42"/>
      <c r="H42" s="16"/>
      <c r="J42" s="17"/>
      <c r="M42" s="16"/>
    </row>
    <row r="43" spans="4:13" x14ac:dyDescent="0.3">
      <c r="D43"/>
      <c r="H43" s="16"/>
      <c r="J43" s="17"/>
      <c r="M43" s="16"/>
    </row>
    <row r="44" spans="4:13" x14ac:dyDescent="0.3">
      <c r="D44"/>
      <c r="H44" s="16"/>
      <c r="J44" s="17"/>
      <c r="M44" s="16"/>
    </row>
    <row r="45" spans="4:13" x14ac:dyDescent="0.3">
      <c r="D45"/>
      <c r="H45" s="16"/>
      <c r="J45" s="17"/>
      <c r="M45" s="16"/>
    </row>
    <row r="46" spans="4:13" x14ac:dyDescent="0.3">
      <c r="D46"/>
      <c r="H46" s="16"/>
      <c r="J46" s="17"/>
      <c r="M46" s="16"/>
    </row>
    <row r="47" spans="4:13" x14ac:dyDescent="0.3">
      <c r="D47"/>
      <c r="H47" s="16"/>
      <c r="J47" s="17"/>
      <c r="M47" s="16"/>
    </row>
    <row r="48" spans="4:13" x14ac:dyDescent="0.3">
      <c r="D48"/>
      <c r="H48" s="16"/>
      <c r="J48" s="17"/>
      <c r="M48" s="16"/>
    </row>
    <row r="49" spans="4:13" x14ac:dyDescent="0.3">
      <c r="D49"/>
      <c r="H49" s="16"/>
      <c r="J49" s="17"/>
      <c r="M49" s="16"/>
    </row>
    <row r="50" spans="4:13" x14ac:dyDescent="0.3">
      <c r="D50"/>
      <c r="H50" s="16"/>
      <c r="J50" s="17"/>
      <c r="M50" s="16"/>
    </row>
    <row r="51" spans="4:13" x14ac:dyDescent="0.3">
      <c r="D51"/>
      <c r="H51" s="16"/>
      <c r="J51" s="17"/>
      <c r="M51" s="16"/>
    </row>
    <row r="52" spans="4:13" x14ac:dyDescent="0.3">
      <c r="D52"/>
      <c r="H52" s="16"/>
      <c r="J52" s="17"/>
      <c r="M52" s="16"/>
    </row>
    <row r="53" spans="4:13" x14ac:dyDescent="0.3">
      <c r="D53"/>
      <c r="H53" s="16"/>
      <c r="J53" s="17"/>
      <c r="M53" s="16"/>
    </row>
    <row r="54" spans="4:13" x14ac:dyDescent="0.3">
      <c r="D54"/>
      <c r="H54" s="16"/>
      <c r="J54" s="17"/>
      <c r="M54" s="16"/>
    </row>
    <row r="55" spans="4:13" x14ac:dyDescent="0.3">
      <c r="D55"/>
      <c r="H55" s="16"/>
      <c r="J55" s="17"/>
      <c r="M55" s="16"/>
    </row>
    <row r="56" spans="4:13" x14ac:dyDescent="0.3">
      <c r="D56"/>
      <c r="H56" s="16"/>
      <c r="J56" s="17"/>
      <c r="M56" s="16"/>
    </row>
    <row r="57" spans="4:13" x14ac:dyDescent="0.3">
      <c r="D57"/>
      <c r="H57" s="16"/>
      <c r="J57" s="17"/>
      <c r="M57" s="16"/>
    </row>
    <row r="58" spans="4:13" x14ac:dyDescent="0.3">
      <c r="D58"/>
      <c r="H58" s="16"/>
      <c r="J58" s="17"/>
      <c r="M58" s="16"/>
    </row>
    <row r="59" spans="4:13" x14ac:dyDescent="0.3">
      <c r="D59"/>
      <c r="H59" s="16"/>
      <c r="J59" s="17"/>
      <c r="M59" s="16"/>
    </row>
    <row r="60" spans="4:13" x14ac:dyDescent="0.3">
      <c r="D60"/>
      <c r="H60" s="16"/>
      <c r="J60" s="17"/>
      <c r="M60" s="16"/>
    </row>
    <row r="61" spans="4:13" x14ac:dyDescent="0.3">
      <c r="D61"/>
      <c r="H61" s="16"/>
      <c r="J61" s="17"/>
      <c r="M61" s="16"/>
    </row>
    <row r="62" spans="4:13" x14ac:dyDescent="0.3">
      <c r="D62"/>
      <c r="H62" s="16"/>
      <c r="J62" s="17"/>
      <c r="M62" s="16"/>
    </row>
    <row r="63" spans="4:13" x14ac:dyDescent="0.3">
      <c r="D63"/>
      <c r="H63" s="16"/>
      <c r="J63" s="17"/>
      <c r="M63" s="16"/>
    </row>
    <row r="64" spans="4:13" x14ac:dyDescent="0.3">
      <c r="D64"/>
      <c r="H64" s="16"/>
      <c r="J64" s="17"/>
      <c r="M64" s="16"/>
    </row>
    <row r="65" spans="4:13" x14ac:dyDescent="0.3">
      <c r="D65"/>
      <c r="H65" s="16"/>
      <c r="J65" s="17"/>
      <c r="M65" s="16"/>
    </row>
    <row r="66" spans="4:13" x14ac:dyDescent="0.3">
      <c r="D66"/>
      <c r="H66" s="16"/>
      <c r="J66" s="17"/>
      <c r="M66" s="16"/>
    </row>
    <row r="67" spans="4:13" x14ac:dyDescent="0.3">
      <c r="D67"/>
      <c r="H67" s="16"/>
      <c r="J67" s="17"/>
      <c r="M67" s="16"/>
    </row>
    <row r="68" spans="4:13" x14ac:dyDescent="0.3">
      <c r="D68"/>
      <c r="H68" s="16"/>
      <c r="J68" s="17"/>
      <c r="M68" s="16"/>
    </row>
    <row r="69" spans="4:13" x14ac:dyDescent="0.3">
      <c r="D69"/>
      <c r="H69" s="16"/>
      <c r="J69" s="17"/>
      <c r="M69" s="16"/>
    </row>
    <row r="70" spans="4:13" x14ac:dyDescent="0.3">
      <c r="D70"/>
      <c r="H70" s="16"/>
      <c r="J70" s="17"/>
      <c r="M70" s="16"/>
    </row>
    <row r="71" spans="4:13" x14ac:dyDescent="0.3">
      <c r="D71"/>
      <c r="H71" s="16"/>
      <c r="J71" s="17"/>
      <c r="M71" s="16"/>
    </row>
    <row r="72" spans="4:13" x14ac:dyDescent="0.3">
      <c r="D72"/>
      <c r="H72" s="16"/>
      <c r="J72" s="17"/>
      <c r="M72" s="16"/>
    </row>
    <row r="73" spans="4:13" x14ac:dyDescent="0.3">
      <c r="D73"/>
      <c r="H73" s="16"/>
      <c r="J73" s="17"/>
      <c r="M73" s="16"/>
    </row>
    <row r="74" spans="4:13" x14ac:dyDescent="0.3">
      <c r="D74"/>
      <c r="H74" s="16"/>
      <c r="J74" s="17"/>
      <c r="M74" s="16"/>
    </row>
    <row r="75" spans="4:13" x14ac:dyDescent="0.3">
      <c r="D75"/>
      <c r="H75" s="16"/>
      <c r="J75" s="17"/>
      <c r="M75" s="16"/>
    </row>
    <row r="76" spans="4:13" x14ac:dyDescent="0.3">
      <c r="D76"/>
      <c r="H76" s="16"/>
      <c r="J76" s="17"/>
      <c r="M76" s="16"/>
    </row>
    <row r="77" spans="4:13" x14ac:dyDescent="0.3">
      <c r="D77"/>
      <c r="H77" s="16"/>
      <c r="J77" s="17"/>
      <c r="M77" s="16"/>
    </row>
    <row r="78" spans="4:13" x14ac:dyDescent="0.3">
      <c r="D78"/>
      <c r="H78" s="16"/>
      <c r="J78" s="17"/>
      <c r="M78" s="16"/>
    </row>
    <row r="79" spans="4:13" x14ac:dyDescent="0.3">
      <c r="D79"/>
      <c r="H79" s="16"/>
      <c r="J79" s="17"/>
      <c r="M79" s="16"/>
    </row>
    <row r="80" spans="4:13" x14ac:dyDescent="0.3">
      <c r="D80"/>
      <c r="H80" s="16"/>
      <c r="J80" s="17"/>
      <c r="M80" s="16"/>
    </row>
    <row r="81" spans="4:13" x14ac:dyDescent="0.3">
      <c r="D81"/>
      <c r="H81" s="16"/>
      <c r="J81" s="17"/>
      <c r="M81" s="16"/>
    </row>
    <row r="82" spans="4:13" x14ac:dyDescent="0.3">
      <c r="D82"/>
      <c r="H82" s="16"/>
      <c r="J82" s="17"/>
      <c r="M82" s="16"/>
    </row>
    <row r="83" spans="4:13" x14ac:dyDescent="0.3">
      <c r="D83"/>
      <c r="H83" s="16"/>
      <c r="J83" s="17"/>
      <c r="M83" s="16"/>
    </row>
    <row r="84" spans="4:13" x14ac:dyDescent="0.3">
      <c r="D84"/>
      <c r="H84" s="16"/>
      <c r="J84" s="17"/>
      <c r="M84" s="16"/>
    </row>
    <row r="85" spans="4:13" x14ac:dyDescent="0.3">
      <c r="D85"/>
      <c r="H85" s="16"/>
      <c r="J85" s="17"/>
      <c r="M85" s="16"/>
    </row>
    <row r="86" spans="4:13" x14ac:dyDescent="0.3">
      <c r="D86"/>
      <c r="H86" s="16"/>
      <c r="J86" s="17"/>
      <c r="M86" s="16"/>
    </row>
    <row r="87" spans="4:13" x14ac:dyDescent="0.3">
      <c r="D87"/>
      <c r="H87" s="16"/>
      <c r="J87" s="17"/>
      <c r="M87" s="16"/>
    </row>
    <row r="88" spans="4:13" x14ac:dyDescent="0.3">
      <c r="D88"/>
      <c r="H88" s="16"/>
      <c r="J88" s="17"/>
      <c r="M88" s="16"/>
    </row>
    <row r="89" spans="4:13" x14ac:dyDescent="0.3">
      <c r="D89"/>
      <c r="H89" s="16"/>
      <c r="J89" s="17"/>
      <c r="M89" s="16"/>
    </row>
    <row r="90" spans="4:13" x14ac:dyDescent="0.3">
      <c r="D90"/>
      <c r="H90" s="16"/>
      <c r="J90" s="17"/>
      <c r="M90" s="16"/>
    </row>
    <row r="91" spans="4:13" x14ac:dyDescent="0.3">
      <c r="D91"/>
      <c r="H91" s="16"/>
      <c r="J91" s="17"/>
      <c r="M91" s="16"/>
    </row>
    <row r="92" spans="4:13" x14ac:dyDescent="0.3">
      <c r="D92"/>
      <c r="H92" s="16"/>
      <c r="J92" s="17"/>
      <c r="M92" s="16"/>
    </row>
    <row r="93" spans="4:13" x14ac:dyDescent="0.3">
      <c r="D93"/>
      <c r="H93" s="16"/>
      <c r="J93" s="17"/>
      <c r="M93" s="16"/>
    </row>
    <row r="94" spans="4:13" x14ac:dyDescent="0.3">
      <c r="D94"/>
      <c r="H94" s="16"/>
      <c r="J94" s="17"/>
      <c r="M94" s="16"/>
    </row>
    <row r="95" spans="4:13" x14ac:dyDescent="0.3">
      <c r="D95"/>
      <c r="H95" s="16"/>
      <c r="J95" s="17"/>
      <c r="M95" s="16"/>
    </row>
    <row r="96" spans="4:13" x14ac:dyDescent="0.3">
      <c r="D96"/>
      <c r="H96" s="16"/>
      <c r="J96" s="17"/>
      <c r="M96" s="16"/>
    </row>
    <row r="97" spans="4:13" x14ac:dyDescent="0.3">
      <c r="D97"/>
      <c r="H97" s="16"/>
      <c r="J97" s="17"/>
      <c r="M97" s="16"/>
    </row>
    <row r="98" spans="4:13" x14ac:dyDescent="0.3">
      <c r="D98"/>
      <c r="H98" s="16"/>
      <c r="J98" s="17"/>
      <c r="M98" s="16"/>
    </row>
    <row r="99" spans="4:13" x14ac:dyDescent="0.3">
      <c r="D99"/>
      <c r="H99" s="16"/>
      <c r="J99" s="17"/>
      <c r="M99" s="16"/>
    </row>
    <row r="100" spans="4:13" x14ac:dyDescent="0.3">
      <c r="D100"/>
      <c r="H100" s="16"/>
      <c r="J100" s="17"/>
      <c r="M100" s="16"/>
    </row>
    <row r="101" spans="4:13" x14ac:dyDescent="0.3">
      <c r="D101"/>
      <c r="H101" s="16"/>
      <c r="J101" s="17"/>
      <c r="M101" s="16"/>
    </row>
    <row r="102" spans="4:13" x14ac:dyDescent="0.3">
      <c r="D102"/>
      <c r="H102" s="16"/>
      <c r="J102" s="17"/>
      <c r="M102" s="16"/>
    </row>
    <row r="103" spans="4:13" x14ac:dyDescent="0.3">
      <c r="D103"/>
      <c r="H103" s="16"/>
      <c r="J103" s="17"/>
      <c r="M103" s="16"/>
    </row>
    <row r="104" spans="4:13" x14ac:dyDescent="0.3">
      <c r="D104"/>
      <c r="H104" s="16"/>
      <c r="J104" s="17"/>
      <c r="M104" s="16"/>
    </row>
    <row r="105" spans="4:13" x14ac:dyDescent="0.3">
      <c r="D105"/>
      <c r="H105" s="16"/>
      <c r="J105" s="17"/>
      <c r="M105" s="16"/>
    </row>
    <row r="106" spans="4:13" x14ac:dyDescent="0.3">
      <c r="D106"/>
      <c r="H106" s="16"/>
      <c r="J106" s="17"/>
      <c r="M106" s="16"/>
    </row>
    <row r="107" spans="4:13" x14ac:dyDescent="0.3">
      <c r="D107"/>
      <c r="H107" s="16"/>
      <c r="J107" s="17"/>
      <c r="M107" s="16"/>
    </row>
    <row r="108" spans="4:13" x14ac:dyDescent="0.3">
      <c r="D108"/>
      <c r="H108" s="16"/>
      <c r="J108" s="17"/>
      <c r="M108" s="16"/>
    </row>
    <row r="109" spans="4:13" x14ac:dyDescent="0.3">
      <c r="D109"/>
      <c r="H109" s="16"/>
      <c r="J109" s="17"/>
      <c r="M109" s="16"/>
    </row>
    <row r="110" spans="4:13" x14ac:dyDescent="0.3">
      <c r="D110"/>
      <c r="H110" s="16"/>
      <c r="J110" s="17"/>
      <c r="M110" s="16"/>
    </row>
    <row r="111" spans="4:13" x14ac:dyDescent="0.3">
      <c r="D111"/>
      <c r="H111" s="16"/>
      <c r="J111" s="17"/>
      <c r="M111" s="16"/>
    </row>
    <row r="112" spans="4:13" x14ac:dyDescent="0.3">
      <c r="D112"/>
      <c r="H112" s="16"/>
      <c r="J112" s="17"/>
      <c r="M112" s="16"/>
    </row>
    <row r="113" spans="4:13" x14ac:dyDescent="0.3">
      <c r="D113"/>
      <c r="H113" s="16"/>
      <c r="J113" s="17"/>
      <c r="M113" s="16"/>
    </row>
    <row r="114" spans="4:13" x14ac:dyDescent="0.3">
      <c r="D114"/>
      <c r="H114" s="16"/>
      <c r="J114" s="17"/>
      <c r="M114" s="16"/>
    </row>
    <row r="115" spans="4:13" x14ac:dyDescent="0.3">
      <c r="D115"/>
      <c r="H115" s="16"/>
      <c r="J115" s="17"/>
      <c r="M115" s="16"/>
    </row>
    <row r="116" spans="4:13" x14ac:dyDescent="0.3">
      <c r="D116"/>
      <c r="H116" s="16"/>
      <c r="J116" s="17"/>
      <c r="M116" s="16"/>
    </row>
    <row r="117" spans="4:13" x14ac:dyDescent="0.3">
      <c r="D117"/>
      <c r="H117" s="16"/>
      <c r="J117" s="17"/>
      <c r="M117" s="16"/>
    </row>
    <row r="118" spans="4:13" x14ac:dyDescent="0.3">
      <c r="D118"/>
      <c r="H118" s="16"/>
      <c r="J118" s="17"/>
      <c r="M118" s="16"/>
    </row>
    <row r="119" spans="4:13" x14ac:dyDescent="0.3">
      <c r="D119"/>
      <c r="H119" s="16"/>
      <c r="J119" s="17"/>
      <c r="M119" s="16"/>
    </row>
    <row r="120" spans="4:13" x14ac:dyDescent="0.3">
      <c r="D120"/>
      <c r="H120" s="16"/>
      <c r="J120" s="17"/>
      <c r="M120" s="16"/>
    </row>
    <row r="121" spans="4:13" x14ac:dyDescent="0.3">
      <c r="D121"/>
      <c r="H121" s="16"/>
      <c r="J121" s="17"/>
      <c r="M121" s="16"/>
    </row>
    <row r="122" spans="4:13" x14ac:dyDescent="0.3">
      <c r="D122"/>
      <c r="H122" s="16"/>
      <c r="J122" s="17"/>
      <c r="M122" s="16"/>
    </row>
    <row r="123" spans="4:13" x14ac:dyDescent="0.3">
      <c r="D123"/>
      <c r="H123" s="16"/>
      <c r="J123" s="17"/>
      <c r="M123" s="16"/>
    </row>
    <row r="124" spans="4:13" x14ac:dyDescent="0.3">
      <c r="D124"/>
      <c r="H124" s="16"/>
      <c r="J124" s="17"/>
      <c r="M124" s="16"/>
    </row>
    <row r="125" spans="4:13" x14ac:dyDescent="0.3">
      <c r="D125"/>
      <c r="H125" s="16"/>
      <c r="J125" s="17"/>
      <c r="M125" s="16"/>
    </row>
    <row r="126" spans="4:13" x14ac:dyDescent="0.3">
      <c r="D126"/>
      <c r="H126" s="16"/>
      <c r="J126" s="17"/>
      <c r="M126" s="16"/>
    </row>
    <row r="127" spans="4:13" x14ac:dyDescent="0.3">
      <c r="D127"/>
      <c r="H127" s="16"/>
      <c r="J127" s="17"/>
      <c r="M127" s="16"/>
    </row>
    <row r="128" spans="4:13" x14ac:dyDescent="0.3">
      <c r="D128"/>
      <c r="H128" s="16"/>
      <c r="J128" s="17"/>
      <c r="M128" s="16"/>
    </row>
    <row r="129" spans="4:13" x14ac:dyDescent="0.3">
      <c r="D129"/>
      <c r="H129" s="16"/>
      <c r="J129" s="17"/>
      <c r="M129" s="16"/>
    </row>
    <row r="130" spans="4:13" x14ac:dyDescent="0.3">
      <c r="D130"/>
      <c r="H130" s="16"/>
      <c r="J130" s="17"/>
      <c r="M130" s="16"/>
    </row>
    <row r="131" spans="4:13" x14ac:dyDescent="0.3">
      <c r="D131"/>
      <c r="H131" s="16"/>
      <c r="J131" s="17"/>
      <c r="M131" s="16"/>
    </row>
    <row r="132" spans="4:13" x14ac:dyDescent="0.3">
      <c r="D132"/>
      <c r="H132" s="16"/>
      <c r="J132" s="17"/>
      <c r="M132" s="16"/>
    </row>
    <row r="133" spans="4:13" x14ac:dyDescent="0.3">
      <c r="D133"/>
      <c r="H133" s="16"/>
      <c r="J133" s="17"/>
      <c r="M133" s="16"/>
    </row>
    <row r="134" spans="4:13" x14ac:dyDescent="0.3">
      <c r="D134"/>
      <c r="H134" s="16"/>
      <c r="J134" s="17"/>
      <c r="M134" s="16"/>
    </row>
    <row r="135" spans="4:13" x14ac:dyDescent="0.3">
      <c r="D135"/>
      <c r="H135" s="16"/>
      <c r="J135" s="17"/>
      <c r="M135" s="16"/>
    </row>
  </sheetData>
  <autoFilter ref="C1:Y9" xr:uid="{D226CABC-AA53-41C8-B784-BC3F7FFF22CF}"/>
  <mergeCells count="4">
    <mergeCell ref="B5:B8"/>
    <mergeCell ref="A5:A8"/>
    <mergeCell ref="A11:A14"/>
    <mergeCell ref="B11:B1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544AB67-8CA3-4652-8969-B6B1F9391BFE}">
          <x14:formula1>
            <xm:f>Sheet4!$A$2:$A$4</xm:f>
          </x14:formula1>
          <xm:sqref>Q2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DBF0-C327-46A8-AEAD-CCDA5FB60D30}">
  <dimension ref="A1:U15"/>
  <sheetViews>
    <sheetView topLeftCell="A5" zoomScale="85" zoomScaleNormal="85" workbookViewId="0">
      <selection activeCell="A11" sqref="A11:A14"/>
    </sheetView>
  </sheetViews>
  <sheetFormatPr defaultColWidth="12.88671875" defaultRowHeight="14.4" x14ac:dyDescent="0.3"/>
  <cols>
    <col min="1" max="1" width="7.6640625" customWidth="1"/>
    <col min="2" max="3" width="12.88671875" style="16"/>
    <col min="4" max="4" width="11.33203125" style="16" customWidth="1"/>
    <col min="5" max="5" width="15.33203125" style="16" customWidth="1"/>
    <col min="6" max="6" width="19.33203125" style="16" customWidth="1"/>
    <col min="7" max="7" width="12.88671875" style="17"/>
    <col min="8" max="8" width="17.6640625" style="16" customWidth="1"/>
    <col min="9" max="9" width="10.6640625" style="16" customWidth="1"/>
    <col min="10" max="10" width="16.33203125" style="16" bestFit="1" customWidth="1"/>
    <col min="11" max="11" width="12.88671875" style="16"/>
    <col min="12" max="12" width="13.44140625" style="4" bestFit="1" customWidth="1"/>
    <col min="13" max="13" width="15.6640625" bestFit="1" customWidth="1"/>
    <col min="14" max="14" width="14.88671875" customWidth="1"/>
    <col min="16" max="16" width="11.5546875" customWidth="1"/>
    <col min="17" max="17" width="12.88671875" style="10"/>
    <col min="18" max="18" width="13.109375" style="128" bestFit="1" customWidth="1"/>
    <col min="19" max="19" width="14.33203125" bestFit="1" customWidth="1"/>
    <col min="20" max="21" width="13.109375" bestFit="1" customWidth="1"/>
  </cols>
  <sheetData>
    <row r="1" spans="1:21" ht="43.8" thickBot="1" x14ac:dyDescent="0.35">
      <c r="B1" s="116" t="s">
        <v>9</v>
      </c>
      <c r="C1" s="116" t="s">
        <v>11</v>
      </c>
      <c r="D1" s="116" t="s">
        <v>123</v>
      </c>
      <c r="E1" s="116" t="s">
        <v>33</v>
      </c>
      <c r="F1" s="116" t="s">
        <v>0</v>
      </c>
      <c r="G1" s="117" t="s">
        <v>1</v>
      </c>
      <c r="H1" s="116" t="s">
        <v>2</v>
      </c>
      <c r="I1" s="116" t="s">
        <v>126</v>
      </c>
      <c r="J1" s="116" t="s">
        <v>127</v>
      </c>
      <c r="K1" s="116" t="s">
        <v>17</v>
      </c>
      <c r="L1" s="118" t="s">
        <v>18</v>
      </c>
      <c r="M1" s="119" t="s">
        <v>19</v>
      </c>
      <c r="N1" s="119" t="s">
        <v>118</v>
      </c>
      <c r="O1" s="116" t="s">
        <v>12</v>
      </c>
      <c r="P1" s="116" t="s">
        <v>13</v>
      </c>
      <c r="Q1" s="8" t="s">
        <v>20</v>
      </c>
      <c r="R1" s="126" t="s">
        <v>130</v>
      </c>
      <c r="S1" s="125" t="s">
        <v>131</v>
      </c>
      <c r="T1" s="19" t="s">
        <v>15</v>
      </c>
      <c r="U1" s="19" t="s">
        <v>16</v>
      </c>
    </row>
    <row r="2" spans="1:21" s="103" customFormat="1" ht="28.8" x14ac:dyDescent="0.3">
      <c r="A2" s="616" t="s">
        <v>121</v>
      </c>
      <c r="B2" s="161" t="s">
        <v>10</v>
      </c>
      <c r="C2" s="162">
        <v>45723</v>
      </c>
      <c r="D2" s="161"/>
      <c r="E2" s="161" t="s">
        <v>94</v>
      </c>
      <c r="F2" s="161" t="s">
        <v>92</v>
      </c>
      <c r="G2" s="163">
        <v>1</v>
      </c>
      <c r="H2" s="161" t="s">
        <v>93</v>
      </c>
      <c r="I2" s="161">
        <v>39.51</v>
      </c>
      <c r="J2" s="164">
        <f>L2/I2</f>
        <v>6783.0928878764871</v>
      </c>
      <c r="K2" s="165">
        <v>268000</v>
      </c>
      <c r="L2" s="165">
        <v>268000</v>
      </c>
      <c r="M2" s="165">
        <f t="shared" ref="M2:M10" si="0">G2*L2</f>
        <v>268000</v>
      </c>
      <c r="N2" s="165"/>
      <c r="O2" s="165"/>
      <c r="P2" s="183" t="s">
        <v>28</v>
      </c>
      <c r="Q2" s="113"/>
      <c r="R2" s="127"/>
      <c r="S2" s="102"/>
      <c r="T2" s="102"/>
      <c r="U2" s="102"/>
    </row>
    <row r="3" spans="1:21" s="103" customFormat="1" ht="29.4" thickBot="1" x14ac:dyDescent="0.35">
      <c r="A3" s="617"/>
      <c r="B3" s="184" t="s">
        <v>10</v>
      </c>
      <c r="C3" s="185">
        <v>45723</v>
      </c>
      <c r="D3" s="184"/>
      <c r="E3" s="184" t="s">
        <v>94</v>
      </c>
      <c r="F3" s="184" t="s">
        <v>95</v>
      </c>
      <c r="G3" s="186">
        <v>1</v>
      </c>
      <c r="H3" s="184" t="s">
        <v>96</v>
      </c>
      <c r="I3" s="184">
        <v>39.51</v>
      </c>
      <c r="J3" s="187">
        <f>M3/I3</f>
        <v>6454.0622627182993</v>
      </c>
      <c r="K3" s="188">
        <v>255000</v>
      </c>
      <c r="L3" s="188">
        <v>255000</v>
      </c>
      <c r="M3" s="188">
        <f t="shared" si="0"/>
        <v>255000</v>
      </c>
      <c r="N3" s="188"/>
      <c r="O3" s="184"/>
      <c r="P3" s="254" t="s">
        <v>28</v>
      </c>
      <c r="Q3" s="113"/>
      <c r="R3" s="127"/>
      <c r="S3" s="102"/>
      <c r="T3" s="102"/>
      <c r="U3" s="102"/>
    </row>
    <row r="4" spans="1:21" s="103" customFormat="1" x14ac:dyDescent="0.3">
      <c r="A4" s="616" t="s">
        <v>125</v>
      </c>
      <c r="B4" s="161" t="s">
        <v>10</v>
      </c>
      <c r="C4" s="162">
        <v>45917</v>
      </c>
      <c r="D4" s="161"/>
      <c r="E4" s="161" t="s">
        <v>124</v>
      </c>
      <c r="F4" s="161" t="s">
        <v>101</v>
      </c>
      <c r="G4" s="163">
        <v>200</v>
      </c>
      <c r="H4" s="161"/>
      <c r="I4" s="161">
        <v>48.97</v>
      </c>
      <c r="J4" s="164">
        <f>L4/I4</f>
        <v>3165.2031856238514</v>
      </c>
      <c r="K4" s="165">
        <v>155000</v>
      </c>
      <c r="L4" s="165">
        <v>155000</v>
      </c>
      <c r="M4" s="165">
        <f t="shared" si="0"/>
        <v>31000000</v>
      </c>
      <c r="N4" s="161"/>
      <c r="O4" s="255"/>
      <c r="P4" s="256" t="s">
        <v>28</v>
      </c>
      <c r="Q4" s="113"/>
      <c r="R4" s="127"/>
      <c r="S4" s="102"/>
      <c r="T4" s="102"/>
      <c r="U4" s="102"/>
    </row>
    <row r="5" spans="1:21" s="103" customFormat="1" x14ac:dyDescent="0.3">
      <c r="A5" s="618"/>
      <c r="B5" s="133" t="s">
        <v>10</v>
      </c>
      <c r="C5" s="134">
        <v>45917</v>
      </c>
      <c r="D5" s="133"/>
      <c r="E5" s="133" t="s">
        <v>98</v>
      </c>
      <c r="F5" s="133" t="s">
        <v>102</v>
      </c>
      <c r="G5" s="135">
        <v>200</v>
      </c>
      <c r="H5" s="133"/>
      <c r="I5" s="133">
        <v>48.97</v>
      </c>
      <c r="J5" s="136">
        <f>L5/I5</f>
        <v>3165.2031856238514</v>
      </c>
      <c r="K5" s="137">
        <v>155000</v>
      </c>
      <c r="L5" s="137">
        <v>155000</v>
      </c>
      <c r="M5" s="137">
        <f t="shared" si="0"/>
        <v>31000000</v>
      </c>
      <c r="N5" s="133"/>
      <c r="O5" s="257"/>
      <c r="P5" s="258" t="s">
        <v>28</v>
      </c>
      <c r="Q5" s="113"/>
      <c r="R5" s="127"/>
      <c r="S5" s="102"/>
      <c r="T5" s="102"/>
      <c r="U5" s="102"/>
    </row>
    <row r="6" spans="1:21" s="103" customFormat="1" x14ac:dyDescent="0.3">
      <c r="A6" s="618"/>
      <c r="B6" s="133" t="s">
        <v>10</v>
      </c>
      <c r="C6" s="134">
        <v>45917</v>
      </c>
      <c r="D6" s="133"/>
      <c r="E6" s="133" t="s">
        <v>98</v>
      </c>
      <c r="F6" s="133" t="s">
        <v>103</v>
      </c>
      <c r="G6" s="135">
        <v>400</v>
      </c>
      <c r="H6" s="133"/>
      <c r="I6" s="133">
        <v>48.97</v>
      </c>
      <c r="J6" s="136">
        <f t="shared" ref="J6:J14" si="1">L6/I6</f>
        <v>1674.4945885235859</v>
      </c>
      <c r="K6" s="137">
        <v>82000</v>
      </c>
      <c r="L6" s="137">
        <v>82000</v>
      </c>
      <c r="M6" s="137">
        <f t="shared" si="0"/>
        <v>32800000</v>
      </c>
      <c r="N6" s="133"/>
      <c r="O6" s="257"/>
      <c r="P6" s="258" t="s">
        <v>28</v>
      </c>
      <c r="Q6" s="113"/>
      <c r="R6" s="127"/>
      <c r="S6" s="102"/>
      <c r="T6" s="102"/>
      <c r="U6" s="102"/>
    </row>
    <row r="7" spans="1:21" s="103" customFormat="1" ht="28.8" x14ac:dyDescent="0.3">
      <c r="A7" s="618"/>
      <c r="B7" s="133" t="s">
        <v>10</v>
      </c>
      <c r="C7" s="134">
        <v>45917</v>
      </c>
      <c r="D7" s="133"/>
      <c r="E7" s="133" t="s">
        <v>105</v>
      </c>
      <c r="F7" s="133" t="s">
        <v>104</v>
      </c>
      <c r="G7" s="135">
        <v>100</v>
      </c>
      <c r="H7" s="133"/>
      <c r="I7" s="133">
        <v>48.97</v>
      </c>
      <c r="J7" s="136">
        <f t="shared" si="1"/>
        <v>326.73065141923627</v>
      </c>
      <c r="K7" s="137">
        <v>16000</v>
      </c>
      <c r="L7" s="137">
        <v>16000</v>
      </c>
      <c r="M7" s="137">
        <f t="shared" si="0"/>
        <v>1600000</v>
      </c>
      <c r="N7" s="133"/>
      <c r="O7" s="257"/>
      <c r="P7" s="258" t="s">
        <v>28</v>
      </c>
      <c r="Q7" s="113"/>
      <c r="R7" s="127"/>
      <c r="S7" s="102"/>
      <c r="T7" s="102"/>
      <c r="U7" s="102"/>
    </row>
    <row r="8" spans="1:21" s="103" customFormat="1" x14ac:dyDescent="0.3">
      <c r="A8" s="618"/>
      <c r="B8" s="133" t="s">
        <v>10</v>
      </c>
      <c r="C8" s="134">
        <v>45917</v>
      </c>
      <c r="D8" s="133"/>
      <c r="E8" s="133" t="s">
        <v>107</v>
      </c>
      <c r="F8" s="133" t="s">
        <v>106</v>
      </c>
      <c r="G8" s="135">
        <v>200</v>
      </c>
      <c r="H8" s="133"/>
      <c r="I8" s="133">
        <v>48.97</v>
      </c>
      <c r="J8" s="136">
        <f t="shared" si="1"/>
        <v>1919.5425770880131</v>
      </c>
      <c r="K8" s="137">
        <v>94000</v>
      </c>
      <c r="L8" s="137">
        <v>94000</v>
      </c>
      <c r="M8" s="137">
        <f t="shared" si="0"/>
        <v>18800000</v>
      </c>
      <c r="N8" s="133"/>
      <c r="O8" s="257"/>
      <c r="P8" s="258" t="s">
        <v>28</v>
      </c>
      <c r="Q8" s="113"/>
      <c r="R8" s="127"/>
      <c r="S8" s="102"/>
      <c r="T8" s="102"/>
      <c r="U8" s="102"/>
    </row>
    <row r="9" spans="1:21" s="103" customFormat="1" ht="28.8" x14ac:dyDescent="0.3">
      <c r="A9" s="618"/>
      <c r="B9" s="133" t="s">
        <v>10</v>
      </c>
      <c r="C9" s="134">
        <v>45917</v>
      </c>
      <c r="D9" s="133"/>
      <c r="E9" s="133" t="s">
        <v>108</v>
      </c>
      <c r="F9" s="133" t="s">
        <v>104</v>
      </c>
      <c r="G9" s="135">
        <v>308</v>
      </c>
      <c r="H9" s="133"/>
      <c r="I9" s="133">
        <v>48.97</v>
      </c>
      <c r="J9" s="136">
        <f t="shared" si="1"/>
        <v>1347.7639371043497</v>
      </c>
      <c r="K9" s="137">
        <v>66000</v>
      </c>
      <c r="L9" s="137">
        <v>66000</v>
      </c>
      <c r="M9" s="137">
        <f t="shared" si="0"/>
        <v>20328000</v>
      </c>
      <c r="N9" s="133"/>
      <c r="O9" s="257"/>
      <c r="P9" s="258" t="s">
        <v>28</v>
      </c>
      <c r="Q9" s="113"/>
      <c r="R9" s="127"/>
      <c r="S9" s="102"/>
      <c r="T9" s="102"/>
      <c r="U9" s="102"/>
    </row>
    <row r="10" spans="1:21" s="103" customFormat="1" ht="29.4" thickBot="1" x14ac:dyDescent="0.35">
      <c r="A10" s="617"/>
      <c r="B10" s="184" t="s">
        <v>10</v>
      </c>
      <c r="C10" s="185">
        <v>45917</v>
      </c>
      <c r="D10" s="184"/>
      <c r="E10" s="184" t="s">
        <v>109</v>
      </c>
      <c r="F10" s="184" t="s">
        <v>104</v>
      </c>
      <c r="G10" s="186">
        <v>192</v>
      </c>
      <c r="H10" s="184"/>
      <c r="I10" s="184">
        <v>48.97</v>
      </c>
      <c r="J10" s="187">
        <f t="shared" si="1"/>
        <v>1347.7639371043497</v>
      </c>
      <c r="K10" s="188">
        <v>66000</v>
      </c>
      <c r="L10" s="188">
        <v>66000</v>
      </c>
      <c r="M10" s="188">
        <f t="shared" si="0"/>
        <v>12672000</v>
      </c>
      <c r="N10" s="184"/>
      <c r="O10" s="254"/>
      <c r="P10" s="259" t="s">
        <v>28</v>
      </c>
      <c r="Q10" s="113"/>
      <c r="R10" s="127"/>
      <c r="S10" s="102"/>
      <c r="T10" s="102"/>
      <c r="U10" s="102"/>
    </row>
    <row r="11" spans="1:21" ht="44.4" customHeight="1" x14ac:dyDescent="0.3">
      <c r="A11" s="619" t="s">
        <v>120</v>
      </c>
      <c r="B11" s="220" t="s">
        <v>10</v>
      </c>
      <c r="C11" s="162">
        <v>45937</v>
      </c>
      <c r="D11" s="161" t="s">
        <v>97</v>
      </c>
      <c r="E11" s="161" t="s">
        <v>119</v>
      </c>
      <c r="F11" s="161" t="s">
        <v>3</v>
      </c>
      <c r="G11" s="163">
        <v>35</v>
      </c>
      <c r="H11" s="161" t="s">
        <v>4</v>
      </c>
      <c r="I11" s="161">
        <v>48.74</v>
      </c>
      <c r="J11" s="164">
        <f t="shared" si="1"/>
        <v>4411.1612638489942</v>
      </c>
      <c r="K11" s="165">
        <v>215000</v>
      </c>
      <c r="L11" s="165">
        <v>215000</v>
      </c>
      <c r="M11" s="260">
        <f>G11*L11</f>
        <v>7525000</v>
      </c>
      <c r="N11" s="260"/>
      <c r="O11" s="261"/>
      <c r="P11" s="262" t="s">
        <v>28</v>
      </c>
      <c r="Q11" s="114"/>
      <c r="R11" s="129"/>
      <c r="S11" s="1"/>
      <c r="T11" s="1"/>
      <c r="U11" s="1"/>
    </row>
    <row r="12" spans="1:21" ht="43.2" x14ac:dyDescent="0.3">
      <c r="A12" s="620"/>
      <c r="B12" s="263" t="s">
        <v>10</v>
      </c>
      <c r="C12" s="134">
        <v>45937</v>
      </c>
      <c r="D12" s="133" t="s">
        <v>97</v>
      </c>
      <c r="E12" s="133" t="s">
        <v>119</v>
      </c>
      <c r="F12" s="133" t="s">
        <v>3</v>
      </c>
      <c r="G12" s="135">
        <v>15</v>
      </c>
      <c r="H12" s="133" t="s">
        <v>5</v>
      </c>
      <c r="I12" s="133">
        <v>48.74</v>
      </c>
      <c r="J12" s="136">
        <f t="shared" si="1"/>
        <v>12515.387771850636</v>
      </c>
      <c r="K12" s="137">
        <v>810000</v>
      </c>
      <c r="L12" s="137">
        <v>610000</v>
      </c>
      <c r="M12" s="264">
        <f>G12*L12</f>
        <v>9150000</v>
      </c>
      <c r="N12" s="264"/>
      <c r="O12" s="207"/>
      <c r="P12" s="265" t="s">
        <v>28</v>
      </c>
      <c r="Q12" s="114"/>
      <c r="R12" s="129"/>
      <c r="S12" s="1"/>
      <c r="T12" s="1"/>
      <c r="U12" s="1"/>
    </row>
    <row r="13" spans="1:21" ht="43.2" x14ac:dyDescent="0.3">
      <c r="A13" s="620"/>
      <c r="B13" s="263" t="s">
        <v>10</v>
      </c>
      <c r="C13" s="134">
        <v>45937</v>
      </c>
      <c r="D13" s="133" t="s">
        <v>97</v>
      </c>
      <c r="E13" s="133" t="s">
        <v>119</v>
      </c>
      <c r="F13" s="133" t="s">
        <v>6</v>
      </c>
      <c r="G13" s="135">
        <v>65</v>
      </c>
      <c r="H13" s="133" t="s">
        <v>7</v>
      </c>
      <c r="I13" s="133">
        <v>48.74</v>
      </c>
      <c r="J13" s="136">
        <f t="shared" si="1"/>
        <v>2974.9692244562984</v>
      </c>
      <c r="K13" s="137">
        <v>145000</v>
      </c>
      <c r="L13" s="137">
        <v>145000</v>
      </c>
      <c r="M13" s="264">
        <f>G13*L13</f>
        <v>9425000</v>
      </c>
      <c r="N13" s="264"/>
      <c r="O13" s="207"/>
      <c r="P13" s="265" t="s">
        <v>28</v>
      </c>
      <c r="Q13" s="114"/>
      <c r="R13" s="129"/>
      <c r="S13" s="1"/>
      <c r="T13" s="1"/>
      <c r="U13" s="1"/>
    </row>
    <row r="14" spans="1:21" ht="43.8" thickBot="1" x14ac:dyDescent="0.35">
      <c r="A14" s="621"/>
      <c r="B14" s="225" t="s">
        <v>10</v>
      </c>
      <c r="C14" s="170">
        <v>45937</v>
      </c>
      <c r="D14" s="169" t="s">
        <v>97</v>
      </c>
      <c r="E14" s="169" t="s">
        <v>119</v>
      </c>
      <c r="F14" s="169" t="s">
        <v>6</v>
      </c>
      <c r="G14" s="171">
        <v>65</v>
      </c>
      <c r="H14" s="169" t="s">
        <v>8</v>
      </c>
      <c r="I14" s="169">
        <v>48.74</v>
      </c>
      <c r="J14" s="172">
        <f t="shared" si="1"/>
        <v>1846.5326220763234</v>
      </c>
      <c r="K14" s="173">
        <v>90000</v>
      </c>
      <c r="L14" s="173">
        <v>90000</v>
      </c>
      <c r="M14" s="266">
        <f>G14*L14</f>
        <v>5850000</v>
      </c>
      <c r="N14" s="266"/>
      <c r="O14" s="267"/>
      <c r="P14" s="268" t="s">
        <v>28</v>
      </c>
      <c r="Q14" s="115"/>
      <c r="R14" s="129"/>
      <c r="S14" s="1"/>
      <c r="T14" s="1"/>
      <c r="U14" s="1"/>
    </row>
    <row r="15" spans="1:21" x14ac:dyDescent="0.3">
      <c r="B15" s="2" t="s">
        <v>22</v>
      </c>
      <c r="C15" s="15">
        <v>45954</v>
      </c>
      <c r="D15" s="15"/>
      <c r="E15" s="15"/>
      <c r="F15" s="3" t="s">
        <v>21</v>
      </c>
      <c r="G15" s="14">
        <v>1</v>
      </c>
      <c r="H15" s="3" t="s">
        <v>23</v>
      </c>
      <c r="I15" s="3"/>
      <c r="J15" s="3"/>
      <c r="K15" s="13"/>
      <c r="L15" s="18">
        <v>57300</v>
      </c>
      <c r="M15" s="18">
        <f t="shared" ref="M15" si="2">L15*G15</f>
        <v>57300</v>
      </c>
      <c r="N15" s="18"/>
      <c r="O15" s="1"/>
      <c r="P15" s="1" t="s">
        <v>32</v>
      </c>
      <c r="Q15" s="9"/>
      <c r="R15" s="130"/>
      <c r="S15" s="1"/>
      <c r="T15" s="1"/>
      <c r="U15" s="1"/>
    </row>
  </sheetData>
  <autoFilter ref="B1:U15" xr:uid="{D226CABC-AA53-41C8-B784-BC3F7FFF22CF}"/>
  <mergeCells count="3">
    <mergeCell ref="A2:A3"/>
    <mergeCell ref="A4:A10"/>
    <mergeCell ref="A11:A1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8265F6-B398-4213-99CE-088A0BCACD96}">
          <x14:formula1>
            <xm:f>Sheet4!$A$2:$A$4</xm:f>
          </x14:formula1>
          <xm:sqref>P11:P15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EB99-EBE3-4A3B-B7B2-F60E7EDC0FCE}">
  <dimension ref="A1:N2"/>
  <sheetViews>
    <sheetView topLeftCell="C1" workbookViewId="0">
      <selection activeCell="H2" sqref="H2"/>
    </sheetView>
  </sheetViews>
  <sheetFormatPr defaultColWidth="15.5546875" defaultRowHeight="14.4" x14ac:dyDescent="0.3"/>
  <cols>
    <col min="7" max="7" width="17" customWidth="1"/>
    <col min="8" max="8" width="17.44140625" customWidth="1"/>
  </cols>
  <sheetData>
    <row r="1" spans="1:14" ht="45.6" customHeight="1" x14ac:dyDescent="0.3">
      <c r="A1" s="5" t="s">
        <v>9</v>
      </c>
      <c r="B1" s="5" t="s">
        <v>11</v>
      </c>
      <c r="C1" s="5" t="s">
        <v>0</v>
      </c>
      <c r="D1" s="11" t="s">
        <v>1</v>
      </c>
      <c r="E1" s="5" t="s">
        <v>2</v>
      </c>
      <c r="F1" s="5" t="s">
        <v>17</v>
      </c>
      <c r="G1" s="6" t="s">
        <v>18</v>
      </c>
      <c r="H1" s="7" t="s">
        <v>19</v>
      </c>
      <c r="I1" s="5" t="s">
        <v>12</v>
      </c>
      <c r="J1" s="5" t="s">
        <v>13</v>
      </c>
      <c r="K1" s="8" t="s">
        <v>20</v>
      </c>
      <c r="L1" s="19" t="s">
        <v>14</v>
      </c>
      <c r="M1" s="19" t="s">
        <v>15</v>
      </c>
      <c r="N1" s="19" t="s">
        <v>16</v>
      </c>
    </row>
    <row r="2" spans="1:14" ht="39" customHeight="1" x14ac:dyDescent="0.3">
      <c r="A2" s="2" t="s">
        <v>26</v>
      </c>
      <c r="B2" s="15">
        <v>45920</v>
      </c>
      <c r="C2" s="3" t="s">
        <v>24</v>
      </c>
      <c r="D2" s="12">
        <v>160</v>
      </c>
      <c r="E2" s="3" t="s">
        <v>25</v>
      </c>
      <c r="F2" s="18">
        <v>4000</v>
      </c>
      <c r="G2" s="18">
        <v>4000</v>
      </c>
      <c r="H2" s="18">
        <f>G2*D2</f>
        <v>640000</v>
      </c>
      <c r="I2" s="1"/>
      <c r="J2" s="1"/>
      <c r="K2" s="9"/>
      <c r="L2" s="1"/>
      <c r="M2" s="1"/>
      <c r="N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D50D-B83A-4967-BE0E-B7005ACDED82}">
  <dimension ref="B1:I61"/>
  <sheetViews>
    <sheetView topLeftCell="A23" workbookViewId="0">
      <selection activeCell="E26" sqref="E26:E29"/>
    </sheetView>
  </sheetViews>
  <sheetFormatPr defaultRowHeight="14.4" x14ac:dyDescent="0.3"/>
  <cols>
    <col min="1" max="1" width="4.109375" customWidth="1"/>
    <col min="2" max="2" width="68.44140625" hidden="1" customWidth="1"/>
    <col min="3" max="3" width="27.5546875" style="17" customWidth="1"/>
    <col min="4" max="4" width="14.109375" customWidth="1"/>
    <col min="5" max="5" width="28.109375" customWidth="1"/>
    <col min="6" max="6" width="24" customWidth="1"/>
    <col min="7" max="8" width="25.5546875" customWidth="1"/>
    <col min="9" max="9" width="31.109375" customWidth="1"/>
    <col min="10" max="10" width="18.44140625" customWidth="1"/>
  </cols>
  <sheetData>
    <row r="1" spans="2:9" ht="15" hidden="1" thickBot="1" x14ac:dyDescent="0.35"/>
    <row r="2" spans="2:9" ht="15" hidden="1" thickBot="1" x14ac:dyDescent="0.35">
      <c r="B2" s="20" t="s">
        <v>34</v>
      </c>
      <c r="C2" s="21" t="s">
        <v>35</v>
      </c>
      <c r="D2" s="22" t="s">
        <v>36</v>
      </c>
      <c r="E2" s="22" t="s">
        <v>37</v>
      </c>
      <c r="F2" s="23" t="s">
        <v>38</v>
      </c>
      <c r="G2" s="24" t="s">
        <v>39</v>
      </c>
      <c r="H2" s="628" t="s">
        <v>40</v>
      </c>
      <c r="I2" s="629"/>
    </row>
    <row r="3" spans="2:9" ht="15" hidden="1" thickBot="1" x14ac:dyDescent="0.35">
      <c r="B3" s="25" t="s">
        <v>41</v>
      </c>
      <c r="C3" s="26">
        <v>99</v>
      </c>
      <c r="D3" s="27" t="s">
        <v>42</v>
      </c>
      <c r="E3" s="28">
        <v>18500</v>
      </c>
      <c r="F3" s="28">
        <f>E3*100*1.2</f>
        <v>2220000</v>
      </c>
      <c r="G3" s="28">
        <f>F3/2</f>
        <v>1110000</v>
      </c>
      <c r="H3" s="29">
        <f>F3/2</f>
        <v>1110000</v>
      </c>
      <c r="I3" s="30" t="s">
        <v>43</v>
      </c>
    </row>
    <row r="4" spans="2:9" ht="15" hidden="1" thickBot="1" x14ac:dyDescent="0.35">
      <c r="B4" s="31" t="s">
        <v>41</v>
      </c>
      <c r="C4" s="32" t="s">
        <v>44</v>
      </c>
      <c r="D4" s="33" t="s">
        <v>42</v>
      </c>
      <c r="E4" s="34">
        <v>16500</v>
      </c>
      <c r="F4" s="34">
        <f>E4*100*1.2</f>
        <v>1980000</v>
      </c>
      <c r="G4" s="34">
        <f>F4/2</f>
        <v>990000</v>
      </c>
      <c r="H4" s="35">
        <f>F4/2</f>
        <v>990000</v>
      </c>
      <c r="I4" s="36" t="s">
        <v>43</v>
      </c>
    </row>
    <row r="5" spans="2:9" ht="15" hidden="1" thickBot="1" x14ac:dyDescent="0.35">
      <c r="B5" s="25" t="s">
        <v>45</v>
      </c>
      <c r="C5" s="26">
        <v>30</v>
      </c>
      <c r="D5" s="27" t="s">
        <v>46</v>
      </c>
      <c r="E5" s="28">
        <v>15500</v>
      </c>
      <c r="F5" s="28">
        <f>E5*99*1.2</f>
        <v>1841400</v>
      </c>
      <c r="G5" s="28">
        <f t="shared" ref="G5:G6" si="0">F5/2</f>
        <v>920700</v>
      </c>
      <c r="H5" s="29">
        <f>F5/2</f>
        <v>920700</v>
      </c>
      <c r="I5" s="37" t="s">
        <v>47</v>
      </c>
    </row>
    <row r="6" spans="2:9" ht="15" hidden="1" thickBot="1" x14ac:dyDescent="0.35">
      <c r="B6" s="38" t="s">
        <v>45</v>
      </c>
      <c r="C6" s="39">
        <v>30</v>
      </c>
      <c r="D6" s="40" t="s">
        <v>42</v>
      </c>
      <c r="E6" s="41">
        <v>16500</v>
      </c>
      <c r="F6" s="41">
        <f>E6*99*1.2</f>
        <v>1960200</v>
      </c>
      <c r="G6" s="41">
        <f t="shared" si="0"/>
        <v>980100</v>
      </c>
      <c r="H6" s="35">
        <f>F6/2</f>
        <v>980100</v>
      </c>
      <c r="I6" s="42" t="s">
        <v>47</v>
      </c>
    </row>
    <row r="7" spans="2:9" ht="15" hidden="1" thickBot="1" x14ac:dyDescent="0.35">
      <c r="B7" s="25" t="s">
        <v>48</v>
      </c>
      <c r="C7" s="26">
        <v>99</v>
      </c>
      <c r="D7" s="27" t="s">
        <v>42</v>
      </c>
      <c r="E7" s="43">
        <v>16000</v>
      </c>
      <c r="F7" s="43">
        <f>E7*99*1.2</f>
        <v>1900800</v>
      </c>
      <c r="G7" s="28">
        <f>F7/2</f>
        <v>950400</v>
      </c>
      <c r="H7" s="29">
        <f>F7/2</f>
        <v>950400</v>
      </c>
      <c r="I7" s="30" t="s">
        <v>43</v>
      </c>
    </row>
    <row r="8" spans="2:9" ht="15" hidden="1" thickBot="1" x14ac:dyDescent="0.35">
      <c r="B8" s="44"/>
      <c r="C8" s="45"/>
      <c r="D8" s="46"/>
      <c r="E8" s="46"/>
      <c r="F8" s="46"/>
      <c r="G8" s="46"/>
      <c r="H8" s="44"/>
      <c r="I8" s="47"/>
    </row>
    <row r="9" spans="2:9" ht="6" hidden="1" customHeight="1" thickBot="1" x14ac:dyDescent="0.35"/>
    <row r="10" spans="2:9" ht="15" hidden="1" thickBot="1" x14ac:dyDescent="0.35">
      <c r="B10" s="20" t="s">
        <v>49</v>
      </c>
      <c r="C10" s="21" t="s">
        <v>35</v>
      </c>
      <c r="D10" s="22" t="s">
        <v>36</v>
      </c>
      <c r="E10" s="22" t="s">
        <v>37</v>
      </c>
      <c r="F10" s="23" t="s">
        <v>38</v>
      </c>
      <c r="G10" s="24" t="s">
        <v>39</v>
      </c>
      <c r="H10" s="630" t="s">
        <v>40</v>
      </c>
      <c r="I10" s="631"/>
    </row>
    <row r="11" spans="2:9" ht="15" hidden="1" thickBot="1" x14ac:dyDescent="0.35">
      <c r="B11" s="48" t="s">
        <v>50</v>
      </c>
      <c r="C11" s="49">
        <v>99</v>
      </c>
      <c r="D11" s="50" t="s">
        <v>42</v>
      </c>
      <c r="E11" s="51">
        <v>32600</v>
      </c>
      <c r="F11" s="52">
        <f>E11*1.2*99</f>
        <v>3872880</v>
      </c>
      <c r="G11" s="51">
        <f>F11/2</f>
        <v>1936440</v>
      </c>
      <c r="H11" s="53">
        <f>F11/2</f>
        <v>1936440</v>
      </c>
      <c r="I11" s="54" t="s">
        <v>43</v>
      </c>
    </row>
    <row r="12" spans="2:9" ht="15" hidden="1" thickBot="1" x14ac:dyDescent="0.35"/>
    <row r="13" spans="2:9" ht="15" hidden="1" thickBot="1" x14ac:dyDescent="0.35">
      <c r="B13" s="20" t="s">
        <v>51</v>
      </c>
      <c r="C13" s="22" t="s">
        <v>37</v>
      </c>
      <c r="D13" s="23" t="s">
        <v>38</v>
      </c>
      <c r="E13" s="22" t="s">
        <v>52</v>
      </c>
      <c r="F13" s="630" t="s">
        <v>40</v>
      </c>
      <c r="G13" s="631"/>
    </row>
    <row r="14" spans="2:9" ht="15" hidden="1" thickBot="1" x14ac:dyDescent="0.35">
      <c r="B14" s="55" t="s">
        <v>53</v>
      </c>
      <c r="C14" s="43">
        <v>16750</v>
      </c>
      <c r="D14" s="43">
        <f>C14*100*1.2</f>
        <v>2010000</v>
      </c>
      <c r="E14" s="43">
        <v>700000</v>
      </c>
      <c r="F14" s="43">
        <f>D14-E14</f>
        <v>1310000</v>
      </c>
      <c r="G14" s="37" t="s">
        <v>54</v>
      </c>
    </row>
    <row r="15" spans="2:9" ht="15" hidden="1" thickBot="1" x14ac:dyDescent="0.35">
      <c r="B15" s="56" t="s">
        <v>45</v>
      </c>
      <c r="C15" s="57">
        <v>18000</v>
      </c>
      <c r="D15" s="57">
        <f>C15*100*1.2</f>
        <v>2160000</v>
      </c>
      <c r="E15" s="57">
        <f>D15/2</f>
        <v>1080000</v>
      </c>
      <c r="F15" s="57">
        <f>D15/2</f>
        <v>1080000</v>
      </c>
      <c r="G15" s="42" t="s">
        <v>55</v>
      </c>
    </row>
    <row r="16" spans="2:9" ht="15" hidden="1" thickBot="1" x14ac:dyDescent="0.35"/>
    <row r="17" spans="2:7" ht="15" hidden="1" thickBot="1" x14ac:dyDescent="0.35"/>
    <row r="18" spans="2:7" ht="15" hidden="1" thickBot="1" x14ac:dyDescent="0.35">
      <c r="B18" s="20" t="s">
        <v>56</v>
      </c>
      <c r="C18" s="22" t="s">
        <v>37</v>
      </c>
      <c r="D18" s="23" t="s">
        <v>38</v>
      </c>
      <c r="E18" s="22" t="s">
        <v>52</v>
      </c>
      <c r="F18" s="630" t="s">
        <v>40</v>
      </c>
      <c r="G18" s="631"/>
    </row>
    <row r="19" spans="2:7" ht="15" hidden="1" thickBot="1" x14ac:dyDescent="0.35">
      <c r="B19" s="58" t="s">
        <v>57</v>
      </c>
      <c r="C19" s="59">
        <v>12800</v>
      </c>
      <c r="D19" s="59">
        <f>C19*1.2*100</f>
        <v>1536000</v>
      </c>
      <c r="E19" s="59">
        <f>D19/2</f>
        <v>768000</v>
      </c>
      <c r="F19" s="59">
        <f>D19-E19</f>
        <v>768000</v>
      </c>
      <c r="G19" s="60" t="s">
        <v>58</v>
      </c>
    </row>
    <row r="20" spans="2:7" ht="15" hidden="1" thickBot="1" x14ac:dyDescent="0.35"/>
    <row r="21" spans="2:7" ht="15" hidden="1" thickBot="1" x14ac:dyDescent="0.35">
      <c r="B21" s="20" t="s">
        <v>59</v>
      </c>
      <c r="C21" s="22" t="s">
        <v>37</v>
      </c>
      <c r="D21" s="23" t="s">
        <v>38</v>
      </c>
      <c r="E21" s="22" t="s">
        <v>52</v>
      </c>
      <c r="F21" s="630"/>
      <c r="G21" s="631"/>
    </row>
    <row r="22" spans="2:7" ht="15" hidden="1" thickBot="1" x14ac:dyDescent="0.35">
      <c r="B22" s="61"/>
      <c r="C22" s="62"/>
      <c r="D22" s="62">
        <f>C22*1.2*100</f>
        <v>0</v>
      </c>
      <c r="E22" s="62">
        <f>D22/2</f>
        <v>0</v>
      </c>
      <c r="F22" s="62">
        <f>D22-E22</f>
        <v>0</v>
      </c>
      <c r="G22" s="54"/>
    </row>
    <row r="23" spans="2:7" x14ac:dyDescent="0.3">
      <c r="C23" s="632" t="s">
        <v>60</v>
      </c>
      <c r="D23" s="633"/>
      <c r="E23" s="633"/>
      <c r="F23" s="633"/>
      <c r="G23" s="634"/>
    </row>
    <row r="24" spans="2:7" ht="15" thickBot="1" x14ac:dyDescent="0.35">
      <c r="C24" s="635"/>
      <c r="D24" s="636"/>
      <c r="E24" s="636"/>
      <c r="F24" s="636"/>
      <c r="G24" s="637"/>
    </row>
    <row r="25" spans="2:7" ht="15" thickBot="1" x14ac:dyDescent="0.35">
      <c r="E25" s="63" t="s">
        <v>61</v>
      </c>
      <c r="F25" s="64"/>
      <c r="G25" s="65" t="s">
        <v>62</v>
      </c>
    </row>
    <row r="26" spans="2:7" ht="15" thickBot="1" x14ac:dyDescent="0.35">
      <c r="C26" s="622" t="s">
        <v>63</v>
      </c>
      <c r="D26" s="66" t="s">
        <v>48</v>
      </c>
      <c r="E26" s="67">
        <v>16000</v>
      </c>
      <c r="F26" s="68" t="s">
        <v>64</v>
      </c>
      <c r="G26" s="69">
        <f>E26*99</f>
        <v>1584000</v>
      </c>
    </row>
    <row r="27" spans="2:7" ht="15" thickBot="1" x14ac:dyDescent="0.35">
      <c r="C27" s="623"/>
      <c r="D27" s="66" t="s">
        <v>53</v>
      </c>
      <c r="E27" s="67">
        <v>16750</v>
      </c>
      <c r="F27" s="68" t="s">
        <v>65</v>
      </c>
      <c r="G27" s="69">
        <f>E27*99</f>
        <v>1658250</v>
      </c>
    </row>
    <row r="28" spans="2:7" ht="15" thickBot="1" x14ac:dyDescent="0.35">
      <c r="C28" s="623"/>
      <c r="D28" s="66" t="s">
        <v>57</v>
      </c>
      <c r="E28" s="67">
        <v>12800</v>
      </c>
      <c r="F28" s="68" t="s">
        <v>56</v>
      </c>
      <c r="G28" s="69">
        <f>E28*100</f>
        <v>1280000</v>
      </c>
    </row>
    <row r="29" spans="2:7" ht="15" thickBot="1" x14ac:dyDescent="0.35">
      <c r="C29" s="624"/>
      <c r="D29" s="66" t="s">
        <v>66</v>
      </c>
      <c r="E29" s="67">
        <v>2500</v>
      </c>
      <c r="F29" s="68" t="s">
        <v>59</v>
      </c>
      <c r="G29" s="69">
        <f>E29*100</f>
        <v>250000</v>
      </c>
    </row>
    <row r="30" spans="2:7" ht="15" thickBot="1" x14ac:dyDescent="0.35">
      <c r="E30" s="70">
        <f>SUM(E26:E29)</f>
        <v>48050</v>
      </c>
      <c r="F30" s="71" t="s">
        <v>67</v>
      </c>
      <c r="G30" s="72">
        <f>SUM(G26:G29)</f>
        <v>4772250</v>
      </c>
    </row>
    <row r="31" spans="2:7" x14ac:dyDescent="0.3">
      <c r="E31" s="73" t="s">
        <v>68</v>
      </c>
      <c r="F31" s="74"/>
      <c r="G31" s="75">
        <f>F31*100*1.2</f>
        <v>0</v>
      </c>
    </row>
    <row r="32" spans="2:7" ht="15" thickBot="1" x14ac:dyDescent="0.35">
      <c r="F32" s="44" t="s">
        <v>69</v>
      </c>
      <c r="G32" s="76">
        <f>G31-G30</f>
        <v>-4772250</v>
      </c>
    </row>
    <row r="34" spans="3:8" ht="15" thickBot="1" x14ac:dyDescent="0.35"/>
    <row r="35" spans="3:8" ht="15" thickBot="1" x14ac:dyDescent="0.35">
      <c r="E35" s="77" t="s">
        <v>61</v>
      </c>
      <c r="F35" s="64"/>
      <c r="G35" s="78" t="s">
        <v>62</v>
      </c>
    </row>
    <row r="36" spans="3:8" ht="15" thickBot="1" x14ac:dyDescent="0.35">
      <c r="C36" s="625" t="s">
        <v>70</v>
      </c>
      <c r="D36" s="79" t="s">
        <v>50</v>
      </c>
      <c r="E36" s="67">
        <v>32000</v>
      </c>
      <c r="F36" s="68" t="s">
        <v>64</v>
      </c>
      <c r="G36" s="69">
        <f>E36*99</f>
        <v>3168000</v>
      </c>
    </row>
    <row r="37" spans="3:8" ht="15" thickBot="1" x14ac:dyDescent="0.35">
      <c r="C37" s="623"/>
      <c r="D37" s="79" t="s">
        <v>57</v>
      </c>
      <c r="E37" s="67">
        <v>12800</v>
      </c>
      <c r="F37" s="68" t="s">
        <v>56</v>
      </c>
      <c r="G37" s="69">
        <f>E37*100</f>
        <v>1280000</v>
      </c>
    </row>
    <row r="38" spans="3:8" ht="15" thickBot="1" x14ac:dyDescent="0.35">
      <c r="C38" s="623"/>
      <c r="E38" s="70">
        <f>SUM(E36:E37)</f>
        <v>44800</v>
      </c>
      <c r="F38" s="80" t="s">
        <v>67</v>
      </c>
      <c r="G38" s="81">
        <f>SUM(G36:G37)</f>
        <v>4448000</v>
      </c>
    </row>
    <row r="39" spans="3:8" ht="15" thickBot="1" x14ac:dyDescent="0.35">
      <c r="C39" s="624"/>
      <c r="E39" s="73" t="s">
        <v>68</v>
      </c>
      <c r="F39" s="74"/>
      <c r="G39" s="75">
        <f>SUM(G38)</f>
        <v>4448000</v>
      </c>
    </row>
    <row r="40" spans="3:8" ht="15" thickBot="1" x14ac:dyDescent="0.35">
      <c r="F40" s="44" t="s">
        <v>69</v>
      </c>
      <c r="G40" s="81"/>
    </row>
    <row r="43" spans="3:8" x14ac:dyDescent="0.3">
      <c r="C43" s="82" t="s">
        <v>71</v>
      </c>
      <c r="D43" s="83"/>
      <c r="E43" s="83"/>
      <c r="F43" s="83" t="s">
        <v>1</v>
      </c>
      <c r="G43" s="83" t="s">
        <v>72</v>
      </c>
      <c r="H43" s="83" t="s">
        <v>73</v>
      </c>
    </row>
    <row r="44" spans="3:8" x14ac:dyDescent="0.3">
      <c r="C44" s="1" t="s">
        <v>74</v>
      </c>
      <c r="D44" s="1" t="s">
        <v>41</v>
      </c>
      <c r="E44" s="84">
        <v>1</v>
      </c>
      <c r="F44" s="85">
        <v>27500</v>
      </c>
      <c r="G44" s="85">
        <f>E44*F44</f>
        <v>27500</v>
      </c>
      <c r="H44" s="86">
        <f>G44*1.2</f>
        <v>33000</v>
      </c>
    </row>
    <row r="45" spans="3:8" x14ac:dyDescent="0.3">
      <c r="C45" s="1" t="s">
        <v>75</v>
      </c>
      <c r="D45" s="1" t="s">
        <v>76</v>
      </c>
      <c r="E45" s="84">
        <v>1</v>
      </c>
      <c r="F45" s="85">
        <v>20000</v>
      </c>
      <c r="G45" s="85">
        <f t="shared" ref="G45:G47" si="1">E45*F45</f>
        <v>20000</v>
      </c>
      <c r="H45" s="86">
        <f t="shared" ref="H45:H47" si="2">G45*1.2</f>
        <v>24000</v>
      </c>
    </row>
    <row r="46" spans="3:8" x14ac:dyDescent="0.3">
      <c r="C46" s="1" t="s">
        <v>77</v>
      </c>
      <c r="D46" s="1" t="s">
        <v>50</v>
      </c>
      <c r="E46" s="1">
        <v>99</v>
      </c>
      <c r="F46" s="85">
        <v>32000</v>
      </c>
      <c r="G46" s="85">
        <f t="shared" si="1"/>
        <v>3168000</v>
      </c>
      <c r="H46" s="86">
        <f t="shared" si="2"/>
        <v>3801600</v>
      </c>
    </row>
    <row r="47" spans="3:8" x14ac:dyDescent="0.3">
      <c r="C47" s="1" t="s">
        <v>78</v>
      </c>
      <c r="D47" s="1" t="s">
        <v>57</v>
      </c>
      <c r="E47" s="1">
        <v>100</v>
      </c>
      <c r="F47" s="85">
        <v>12800</v>
      </c>
      <c r="G47" s="85">
        <f t="shared" si="1"/>
        <v>1280000</v>
      </c>
      <c r="H47" s="86">
        <f t="shared" si="2"/>
        <v>1536000</v>
      </c>
    </row>
    <row r="48" spans="3:8" ht="15" customHeight="1" x14ac:dyDescent="0.3">
      <c r="C48" s="87" t="s">
        <v>79</v>
      </c>
      <c r="D48" s="87"/>
      <c r="E48" s="87">
        <v>300</v>
      </c>
      <c r="F48" s="88">
        <v>35</v>
      </c>
      <c r="G48" s="88">
        <f>E48*F48</f>
        <v>10500</v>
      </c>
      <c r="H48" s="626">
        <v>16360</v>
      </c>
    </row>
    <row r="49" spans="3:8" x14ac:dyDescent="0.3">
      <c r="C49" s="87" t="s">
        <v>80</v>
      </c>
      <c r="D49" s="87"/>
      <c r="E49" s="87"/>
      <c r="F49" s="88"/>
      <c r="G49" s="88">
        <v>2340</v>
      </c>
      <c r="H49" s="627"/>
    </row>
    <row r="50" spans="3:8" x14ac:dyDescent="0.3">
      <c r="C50" s="87" t="s">
        <v>81</v>
      </c>
      <c r="D50" s="87"/>
      <c r="E50" s="87"/>
      <c r="F50" s="88"/>
      <c r="G50" s="88">
        <v>520</v>
      </c>
      <c r="H50" s="89" t="s">
        <v>82</v>
      </c>
    </row>
    <row r="51" spans="3:8" x14ac:dyDescent="0.3">
      <c r="C51" s="87" t="s">
        <v>83</v>
      </c>
      <c r="D51" s="87"/>
      <c r="E51" s="87"/>
      <c r="F51" s="88"/>
      <c r="G51" s="88">
        <v>2500</v>
      </c>
      <c r="H51" s="89" t="s">
        <v>84</v>
      </c>
    </row>
    <row r="52" spans="3:8" x14ac:dyDescent="0.3">
      <c r="C52" s="1" t="s">
        <v>85</v>
      </c>
      <c r="D52" s="1"/>
      <c r="E52" s="1"/>
      <c r="F52" s="85"/>
      <c r="G52" s="85">
        <v>200</v>
      </c>
      <c r="H52" s="86">
        <f>G52*1.2</f>
        <v>240</v>
      </c>
    </row>
    <row r="53" spans="3:8" x14ac:dyDescent="0.3">
      <c r="C53" s="1" t="s">
        <v>86</v>
      </c>
      <c r="D53" s="1"/>
      <c r="E53" s="1"/>
      <c r="F53" s="85"/>
      <c r="G53" s="85">
        <v>13500</v>
      </c>
      <c r="H53" s="86">
        <f t="shared" ref="H53:H54" si="3">G53*1.2</f>
        <v>16200</v>
      </c>
    </row>
    <row r="54" spans="3:8" x14ac:dyDescent="0.3">
      <c r="C54" s="90" t="s">
        <v>67</v>
      </c>
      <c r="D54" s="90"/>
      <c r="E54" s="90"/>
      <c r="F54" s="91"/>
      <c r="G54" s="91">
        <f>G44+G45+G46+G52+G53+G47</f>
        <v>4509200</v>
      </c>
      <c r="H54" s="92">
        <f t="shared" si="3"/>
        <v>5411040</v>
      </c>
    </row>
    <row r="55" spans="3:8" ht="15" thickBot="1" x14ac:dyDescent="0.35"/>
    <row r="56" spans="3:8" x14ac:dyDescent="0.3">
      <c r="F56" s="93" t="s">
        <v>87</v>
      </c>
      <c r="G56" s="94" t="s">
        <v>88</v>
      </c>
      <c r="H56" s="95" t="s">
        <v>89</v>
      </c>
    </row>
    <row r="57" spans="3:8" x14ac:dyDescent="0.3">
      <c r="F57" s="96" t="s">
        <v>90</v>
      </c>
      <c r="G57" s="85">
        <v>1500000</v>
      </c>
      <c r="H57" s="97">
        <f>H46-G57-H48</f>
        <v>2285240</v>
      </c>
    </row>
    <row r="58" spans="3:8" ht="15" thickBot="1" x14ac:dyDescent="0.35">
      <c r="F58" s="98" t="s">
        <v>57</v>
      </c>
      <c r="G58" s="99">
        <v>500000</v>
      </c>
      <c r="H58" s="100">
        <f>H47-G58</f>
        <v>1036000</v>
      </c>
    </row>
    <row r="59" spans="3:8" x14ac:dyDescent="0.3">
      <c r="G59" s="101"/>
      <c r="H59" s="101"/>
    </row>
    <row r="60" spans="3:8" x14ac:dyDescent="0.3">
      <c r="G60" s="101"/>
      <c r="H60" s="101"/>
    </row>
    <row r="61" spans="3:8" x14ac:dyDescent="0.3">
      <c r="G61" s="101"/>
      <c r="H61" s="101"/>
    </row>
  </sheetData>
  <mergeCells count="9">
    <mergeCell ref="C26:C29"/>
    <mergeCell ref="C36:C39"/>
    <mergeCell ref="H48:H49"/>
    <mergeCell ref="H2:I2"/>
    <mergeCell ref="H10:I10"/>
    <mergeCell ref="F13:G13"/>
    <mergeCell ref="F18:G18"/>
    <mergeCell ref="F21:G21"/>
    <mergeCell ref="C23:G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47AC-DC72-423D-B851-0521392403F3}">
  <dimension ref="B1:I36"/>
  <sheetViews>
    <sheetView topLeftCell="A23" workbookViewId="0">
      <selection activeCell="G31" sqref="G31"/>
    </sheetView>
  </sheetViews>
  <sheetFormatPr defaultRowHeight="14.4" x14ac:dyDescent="0.3"/>
  <cols>
    <col min="1" max="1" width="4.109375" customWidth="1"/>
    <col min="2" max="2" width="68.44140625" hidden="1" customWidth="1"/>
    <col min="3" max="3" width="27.5546875" style="17" customWidth="1"/>
    <col min="4" max="4" width="14.109375" customWidth="1"/>
    <col min="5" max="5" width="28.109375" customWidth="1"/>
    <col min="6" max="6" width="24" customWidth="1"/>
    <col min="7" max="8" width="25.5546875" customWidth="1"/>
    <col min="9" max="9" width="31.109375" customWidth="1"/>
    <col min="10" max="10" width="18.44140625" customWidth="1"/>
  </cols>
  <sheetData>
    <row r="1" spans="2:9" ht="15" hidden="1" thickBot="1" x14ac:dyDescent="0.35"/>
    <row r="2" spans="2:9" ht="15" hidden="1" thickBot="1" x14ac:dyDescent="0.35">
      <c r="B2" s="20" t="s">
        <v>34</v>
      </c>
      <c r="C2" s="21" t="s">
        <v>35</v>
      </c>
      <c r="D2" s="22" t="s">
        <v>36</v>
      </c>
      <c r="E2" s="22" t="s">
        <v>37</v>
      </c>
      <c r="F2" s="23" t="s">
        <v>38</v>
      </c>
      <c r="G2" s="24" t="s">
        <v>39</v>
      </c>
      <c r="H2" s="628" t="s">
        <v>40</v>
      </c>
      <c r="I2" s="629"/>
    </row>
    <row r="3" spans="2:9" ht="15" hidden="1" thickBot="1" x14ac:dyDescent="0.35">
      <c r="B3" s="25" t="s">
        <v>41</v>
      </c>
      <c r="C3" s="26">
        <v>99</v>
      </c>
      <c r="D3" s="27" t="s">
        <v>42</v>
      </c>
      <c r="E3" s="28">
        <v>18500</v>
      </c>
      <c r="F3" s="28">
        <f>E3*100*1.2</f>
        <v>2220000</v>
      </c>
      <c r="G3" s="28">
        <f>F3/2</f>
        <v>1110000</v>
      </c>
      <c r="H3" s="29">
        <f>F3/2</f>
        <v>1110000</v>
      </c>
      <c r="I3" s="30" t="s">
        <v>43</v>
      </c>
    </row>
    <row r="4" spans="2:9" ht="15" hidden="1" thickBot="1" x14ac:dyDescent="0.35">
      <c r="B4" s="31" t="s">
        <v>41</v>
      </c>
      <c r="C4" s="32" t="s">
        <v>44</v>
      </c>
      <c r="D4" s="33" t="s">
        <v>42</v>
      </c>
      <c r="E4" s="34">
        <v>16500</v>
      </c>
      <c r="F4" s="34">
        <f>E4*100*1.2</f>
        <v>1980000</v>
      </c>
      <c r="G4" s="34">
        <f>F4/2</f>
        <v>990000</v>
      </c>
      <c r="H4" s="35">
        <f>F4/2</f>
        <v>990000</v>
      </c>
      <c r="I4" s="36" t="s">
        <v>43</v>
      </c>
    </row>
    <row r="5" spans="2:9" ht="15" hidden="1" thickBot="1" x14ac:dyDescent="0.35">
      <c r="B5" s="25" t="s">
        <v>45</v>
      </c>
      <c r="C5" s="26">
        <v>30</v>
      </c>
      <c r="D5" s="27" t="s">
        <v>46</v>
      </c>
      <c r="E5" s="28">
        <v>15500</v>
      </c>
      <c r="F5" s="28">
        <f>E5*99*1.2</f>
        <v>1841400</v>
      </c>
      <c r="G5" s="28">
        <f t="shared" ref="G5:G6" si="0">F5/2</f>
        <v>920700</v>
      </c>
      <c r="H5" s="29">
        <f>F5/2</f>
        <v>920700</v>
      </c>
      <c r="I5" s="37" t="s">
        <v>47</v>
      </c>
    </row>
    <row r="6" spans="2:9" ht="15" hidden="1" thickBot="1" x14ac:dyDescent="0.35">
      <c r="B6" s="38" t="s">
        <v>45</v>
      </c>
      <c r="C6" s="39">
        <v>30</v>
      </c>
      <c r="D6" s="40" t="s">
        <v>42</v>
      </c>
      <c r="E6" s="41">
        <v>16500</v>
      </c>
      <c r="F6" s="41">
        <f>E6*99*1.2</f>
        <v>1960200</v>
      </c>
      <c r="G6" s="41">
        <f t="shared" si="0"/>
        <v>980100</v>
      </c>
      <c r="H6" s="35">
        <f>F6/2</f>
        <v>980100</v>
      </c>
      <c r="I6" s="42" t="s">
        <v>47</v>
      </c>
    </row>
    <row r="7" spans="2:9" ht="15" hidden="1" thickBot="1" x14ac:dyDescent="0.35">
      <c r="B7" s="25" t="s">
        <v>48</v>
      </c>
      <c r="C7" s="26">
        <v>99</v>
      </c>
      <c r="D7" s="27" t="s">
        <v>42</v>
      </c>
      <c r="E7" s="43">
        <v>16000</v>
      </c>
      <c r="F7" s="43">
        <f>E7*99*1.2</f>
        <v>1900800</v>
      </c>
      <c r="G7" s="28">
        <f>F7/2</f>
        <v>950400</v>
      </c>
      <c r="H7" s="29">
        <f>F7/2</f>
        <v>950400</v>
      </c>
      <c r="I7" s="30" t="s">
        <v>43</v>
      </c>
    </row>
    <row r="8" spans="2:9" ht="15" hidden="1" thickBot="1" x14ac:dyDescent="0.35">
      <c r="B8" s="44"/>
      <c r="C8" s="45"/>
      <c r="D8" s="46"/>
      <c r="E8" s="46"/>
      <c r="F8" s="46"/>
      <c r="G8" s="46"/>
      <c r="H8" s="44"/>
      <c r="I8" s="47"/>
    </row>
    <row r="9" spans="2:9" ht="6" hidden="1" customHeight="1" thickBot="1" x14ac:dyDescent="0.35"/>
    <row r="10" spans="2:9" ht="15" hidden="1" thickBot="1" x14ac:dyDescent="0.35">
      <c r="B10" s="20" t="s">
        <v>49</v>
      </c>
      <c r="C10" s="21" t="s">
        <v>35</v>
      </c>
      <c r="D10" s="22" t="s">
        <v>36</v>
      </c>
      <c r="E10" s="22" t="s">
        <v>37</v>
      </c>
      <c r="F10" s="23" t="s">
        <v>38</v>
      </c>
      <c r="G10" s="24" t="s">
        <v>39</v>
      </c>
      <c r="H10" s="630" t="s">
        <v>40</v>
      </c>
      <c r="I10" s="631"/>
    </row>
    <row r="11" spans="2:9" ht="15" hidden="1" thickBot="1" x14ac:dyDescent="0.35">
      <c r="B11" s="48" t="s">
        <v>50</v>
      </c>
      <c r="C11" s="49">
        <v>99</v>
      </c>
      <c r="D11" s="50" t="s">
        <v>42</v>
      </c>
      <c r="E11" s="51">
        <v>32600</v>
      </c>
      <c r="F11" s="52">
        <f>E11*1.2*99</f>
        <v>3872880</v>
      </c>
      <c r="G11" s="51">
        <f>F11/2</f>
        <v>1936440</v>
      </c>
      <c r="H11" s="53">
        <f>F11/2</f>
        <v>1936440</v>
      </c>
      <c r="I11" s="54" t="s">
        <v>43</v>
      </c>
    </row>
    <row r="12" spans="2:9" ht="15" hidden="1" thickBot="1" x14ac:dyDescent="0.35"/>
    <row r="13" spans="2:9" ht="15" hidden="1" thickBot="1" x14ac:dyDescent="0.35">
      <c r="B13" s="20" t="s">
        <v>51</v>
      </c>
      <c r="C13" s="22" t="s">
        <v>37</v>
      </c>
      <c r="D13" s="23" t="s">
        <v>38</v>
      </c>
      <c r="E13" s="22" t="s">
        <v>52</v>
      </c>
      <c r="F13" s="630" t="s">
        <v>40</v>
      </c>
      <c r="G13" s="631"/>
    </row>
    <row r="14" spans="2:9" ht="15" hidden="1" thickBot="1" x14ac:dyDescent="0.35">
      <c r="B14" s="55" t="s">
        <v>53</v>
      </c>
      <c r="C14" s="43">
        <v>16750</v>
      </c>
      <c r="D14" s="43">
        <f>C14*100*1.2</f>
        <v>2010000</v>
      </c>
      <c r="E14" s="43">
        <v>700000</v>
      </c>
      <c r="F14" s="43">
        <f>D14-E14</f>
        <v>1310000</v>
      </c>
      <c r="G14" s="37" t="s">
        <v>54</v>
      </c>
    </row>
    <row r="15" spans="2:9" ht="15" hidden="1" thickBot="1" x14ac:dyDescent="0.35">
      <c r="B15" s="56" t="s">
        <v>45</v>
      </c>
      <c r="C15" s="57">
        <v>18000</v>
      </c>
      <c r="D15" s="57">
        <f>C15*100*1.2</f>
        <v>2160000</v>
      </c>
      <c r="E15" s="57">
        <f>D15/2</f>
        <v>1080000</v>
      </c>
      <c r="F15" s="57">
        <f>D15/2</f>
        <v>1080000</v>
      </c>
      <c r="G15" s="42" t="s">
        <v>55</v>
      </c>
    </row>
    <row r="16" spans="2:9" ht="15" hidden="1" thickBot="1" x14ac:dyDescent="0.35"/>
    <row r="17" spans="2:7" ht="15" hidden="1" thickBot="1" x14ac:dyDescent="0.35"/>
    <row r="18" spans="2:7" ht="15" hidden="1" thickBot="1" x14ac:dyDescent="0.35">
      <c r="B18" s="20" t="s">
        <v>56</v>
      </c>
      <c r="C18" s="22" t="s">
        <v>37</v>
      </c>
      <c r="D18" s="23" t="s">
        <v>38</v>
      </c>
      <c r="E18" s="22" t="s">
        <v>52</v>
      </c>
      <c r="F18" s="630" t="s">
        <v>40</v>
      </c>
      <c r="G18" s="631"/>
    </row>
    <row r="19" spans="2:7" ht="15" hidden="1" thickBot="1" x14ac:dyDescent="0.35">
      <c r="B19" s="58" t="s">
        <v>57</v>
      </c>
      <c r="C19" s="59">
        <v>12800</v>
      </c>
      <c r="D19" s="59">
        <f>C19*1.2*100</f>
        <v>1536000</v>
      </c>
      <c r="E19" s="59">
        <f>D19/2</f>
        <v>768000</v>
      </c>
      <c r="F19" s="59">
        <f>D19-E19</f>
        <v>768000</v>
      </c>
      <c r="G19" s="60" t="s">
        <v>58</v>
      </c>
    </row>
    <row r="20" spans="2:7" ht="15" hidden="1" thickBot="1" x14ac:dyDescent="0.35"/>
    <row r="21" spans="2:7" ht="15" hidden="1" thickBot="1" x14ac:dyDescent="0.35">
      <c r="B21" s="20" t="s">
        <v>59</v>
      </c>
      <c r="C21" s="22" t="s">
        <v>37</v>
      </c>
      <c r="D21" s="23" t="s">
        <v>38</v>
      </c>
      <c r="E21" s="22" t="s">
        <v>52</v>
      </c>
      <c r="F21" s="630"/>
      <c r="G21" s="631"/>
    </row>
    <row r="22" spans="2:7" ht="15" hidden="1" thickBot="1" x14ac:dyDescent="0.35">
      <c r="B22" s="61"/>
      <c r="C22" s="62"/>
      <c r="D22" s="62">
        <f>C22*1.2*100</f>
        <v>0</v>
      </c>
      <c r="E22" s="62">
        <f>D22/2</f>
        <v>0</v>
      </c>
      <c r="F22" s="62">
        <f>D22-E22</f>
        <v>0</v>
      </c>
      <c r="G22" s="54"/>
    </row>
    <row r="23" spans="2:7" x14ac:dyDescent="0.3">
      <c r="C23" s="632" t="s">
        <v>117</v>
      </c>
      <c r="D23" s="633"/>
      <c r="E23" s="633"/>
      <c r="F23" s="633"/>
      <c r="G23" s="634"/>
    </row>
    <row r="24" spans="2:7" ht="15" thickBot="1" x14ac:dyDescent="0.35">
      <c r="C24" s="635"/>
      <c r="D24" s="636"/>
      <c r="E24" s="636"/>
      <c r="F24" s="636"/>
      <c r="G24" s="637"/>
    </row>
    <row r="26" spans="2:7" ht="15" thickBot="1" x14ac:dyDescent="0.35"/>
    <row r="27" spans="2:7" ht="15" thickBot="1" x14ac:dyDescent="0.35">
      <c r="E27" s="77" t="s">
        <v>61</v>
      </c>
      <c r="F27" s="17">
        <v>15</v>
      </c>
      <c r="G27" s="78" t="s">
        <v>62</v>
      </c>
    </row>
    <row r="28" spans="2:7" ht="15" thickBot="1" x14ac:dyDescent="0.35">
      <c r="C28" s="625" t="s">
        <v>70</v>
      </c>
      <c r="D28" s="79" t="s">
        <v>50</v>
      </c>
      <c r="E28" s="106">
        <v>30000</v>
      </c>
      <c r="F28" s="66" t="s">
        <v>64</v>
      </c>
      <c r="G28" s="69">
        <f>E28*F27</f>
        <v>450000</v>
      </c>
    </row>
    <row r="29" spans="2:7" ht="15" thickBot="1" x14ac:dyDescent="0.35">
      <c r="C29" s="623"/>
      <c r="D29" s="79" t="s">
        <v>57</v>
      </c>
      <c r="E29" s="106">
        <v>12800</v>
      </c>
      <c r="F29" s="66" t="s">
        <v>56</v>
      </c>
      <c r="G29" s="69">
        <f>E29*F27</f>
        <v>192000</v>
      </c>
    </row>
    <row r="30" spans="2:7" x14ac:dyDescent="0.3">
      <c r="C30" s="623"/>
      <c r="E30" s="107">
        <f>SUM(E28:E29)</f>
        <v>42800</v>
      </c>
      <c r="F30" s="109" t="s">
        <v>67</v>
      </c>
      <c r="G30" s="105">
        <f>SUM(G28:G29)</f>
        <v>642000</v>
      </c>
    </row>
    <row r="31" spans="2:7" ht="15" thickBot="1" x14ac:dyDescent="0.35">
      <c r="C31" s="624"/>
      <c r="E31" s="108" t="s">
        <v>68</v>
      </c>
      <c r="F31" s="110"/>
      <c r="G31" s="111">
        <f>SUM(G30)</f>
        <v>642000</v>
      </c>
    </row>
    <row r="32" spans="2:7" ht="15" thickBot="1" x14ac:dyDescent="0.35">
      <c r="F32" s="44" t="s">
        <v>69</v>
      </c>
      <c r="G32" s="112"/>
    </row>
    <row r="35" spans="7:8" x14ac:dyDescent="0.3">
      <c r="G35" s="101"/>
      <c r="H35" s="101"/>
    </row>
    <row r="36" spans="7:8" x14ac:dyDescent="0.3">
      <c r="G36" s="101"/>
      <c r="H36" s="101"/>
    </row>
  </sheetData>
  <mergeCells count="7">
    <mergeCell ref="C28:C31"/>
    <mergeCell ref="H2:I2"/>
    <mergeCell ref="H10:I10"/>
    <mergeCell ref="F13:G13"/>
    <mergeCell ref="F18:G18"/>
    <mergeCell ref="F21:G21"/>
    <mergeCell ref="C23:G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4EBC-8A74-4D87-A2CA-60FEAB4B049E}">
  <dimension ref="A1:A4"/>
  <sheetViews>
    <sheetView workbookViewId="0">
      <selection sqref="A1:A4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t="s">
        <v>30</v>
      </c>
    </row>
    <row r="3" spans="1:1" x14ac:dyDescent="0.3">
      <c r="A3" t="s">
        <v>28</v>
      </c>
    </row>
    <row r="4" spans="1:1" x14ac:dyDescent="0.3">
      <c r="A4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EB41-408C-4522-B675-C2B7E812ECCC}">
  <dimension ref="A1:B4"/>
  <sheetViews>
    <sheetView workbookViewId="0">
      <selection activeCell="D4" sqref="D4"/>
    </sheetView>
  </sheetViews>
  <sheetFormatPr defaultRowHeight="14.4" x14ac:dyDescent="0.3"/>
  <cols>
    <col min="1" max="2" width="15" customWidth="1"/>
  </cols>
  <sheetData>
    <row r="1" spans="1:2" x14ac:dyDescent="0.3">
      <c r="A1" t="s">
        <v>27</v>
      </c>
      <c r="B1" t="s">
        <v>31</v>
      </c>
    </row>
    <row r="2" spans="1:2" x14ac:dyDescent="0.3">
      <c r="A2" t="s">
        <v>30</v>
      </c>
      <c r="B2" t="s">
        <v>30</v>
      </c>
    </row>
    <row r="3" spans="1:2" x14ac:dyDescent="0.3">
      <c r="A3" t="s">
        <v>28</v>
      </c>
    </row>
    <row r="4" spans="1:2" x14ac:dyDescent="0.3">
      <c r="A4" t="s">
        <v>32</v>
      </c>
    </row>
  </sheetData>
  <dataValidations count="1">
    <dataValidation type="list" allowBlank="1" showInputMessage="1" showErrorMessage="1" error="Lütfen listeden seçim yapın." prompt="Durum seçiniz." sqref="B2" xr:uid="{C7E39ABB-955F-43EC-92A9-9A7836578951}">
      <formula1>$A$2:$A$4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2026 KAZANILAN İŞLER</vt:lpstr>
      <vt:lpstr>SVC GENEL</vt:lpstr>
      <vt:lpstr>Sayfa1</vt:lpstr>
      <vt:lpstr>SVC GÜNCEL İŞLER</vt:lpstr>
      <vt:lpstr>SVC ALDIĞIMIZ İŞLER </vt:lpstr>
      <vt:lpstr>SVC ALAMADIĞIMIZ İŞLER</vt:lpstr>
      <vt:lpstr>RETECH</vt:lpstr>
      <vt:lpstr>Oyta 100 Araç</vt:lpstr>
      <vt:lpstr>Oyta 15 Araç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Pınar Kamçı</dc:creator>
  <cp:lastModifiedBy>hepsilisansb</cp:lastModifiedBy>
  <dcterms:created xsi:type="dcterms:W3CDTF">2025-10-25T11:35:04Z</dcterms:created>
  <dcterms:modified xsi:type="dcterms:W3CDTF">2026-05-22T06:41:16Z</dcterms:modified>
</cp:coreProperties>
</file>