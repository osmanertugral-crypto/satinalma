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InkAnnotation="0" defaultThemeVersion="202300"/>
  <mc:AlternateContent xmlns:mc="http://schemas.openxmlformats.org/markup-compatibility/2006">
    <mc:Choice Requires="x15">
      <x15ac:absPath xmlns:x15ac="http://schemas.microsoft.com/office/spreadsheetml/2010/11/ac" url="https://d.docs.live.net/f5cd365a4a49d1c6/Desktop/RESTAR/İSPANYA/"/>
    </mc:Choice>
  </mc:AlternateContent>
  <xr:revisionPtr revIDLastSave="833" documentId="13_ncr:41000001_{67920D5E-AC88-F64B-9DEB-0EEEBD0CF291}" xr6:coauthVersionLast="47" xr6:coauthVersionMax="47" xr10:uidLastSave="{BC576699-407E-4696-AA6C-071C303C193D}"/>
  <bookViews>
    <workbookView xWindow="-108" yWindow="-108" windowWidth="23256" windowHeight="12576" xr2:uid="{00000000-000D-0000-FFFF-FFFF00000000}"/>
  </bookViews>
  <sheets>
    <sheet name="ANALİZ" sheetId="7" r:id="rId1"/>
    <sheet name="SIDEPODS" sheetId="9" r:id="rId2"/>
    <sheet name="PODS" sheetId="10"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7" i="7" l="1"/>
  <c r="E45" i="7"/>
  <c r="E46" i="7"/>
  <c r="E47" i="7"/>
  <c r="E48" i="7"/>
  <c r="E23" i="7"/>
  <c r="G23" i="7" s="1"/>
  <c r="E24" i="7"/>
  <c r="G24" i="7"/>
  <c r="E58" i="7"/>
  <c r="G58" i="7" s="1"/>
  <c r="F57" i="7"/>
  <c r="E57" i="7"/>
  <c r="E50" i="7"/>
  <c r="E49" i="7"/>
  <c r="E19" i="7"/>
  <c r="G19" i="7" s="1"/>
  <c r="E40" i="7"/>
  <c r="E42" i="7"/>
  <c r="E51" i="7"/>
  <c r="E52" i="7"/>
  <c r="E53" i="7"/>
  <c r="E54" i="7"/>
  <c r="E55" i="7"/>
  <c r="E56" i="7"/>
  <c r="E59" i="7"/>
  <c r="E60" i="7"/>
  <c r="E61" i="7"/>
  <c r="E62" i="7"/>
  <c r="E39" i="7"/>
  <c r="G57" i="7" l="1"/>
  <c r="T38" i="7"/>
  <c r="S38" i="7"/>
  <c r="R38" i="7"/>
  <c r="D44" i="7" s="1"/>
  <c r="E44" i="7" s="1"/>
  <c r="G44" i="7" s="1"/>
  <c r="F39" i="7"/>
  <c r="G39" i="7" s="1"/>
  <c r="F4" i="7"/>
  <c r="Q38" i="7"/>
  <c r="P38" i="7"/>
  <c r="N38" i="7"/>
  <c r="O38" i="7" s="1"/>
  <c r="G62" i="7"/>
  <c r="G61" i="7"/>
  <c r="G60" i="7"/>
  <c r="G59" i="7"/>
  <c r="G56" i="7"/>
  <c r="G55" i="7"/>
  <c r="G54" i="7"/>
  <c r="G53" i="7"/>
  <c r="G52" i="7"/>
  <c r="G51" i="7"/>
  <c r="G50" i="7"/>
  <c r="G49" i="7"/>
  <c r="G48" i="7"/>
  <c r="G46" i="7"/>
  <c r="G45" i="7"/>
  <c r="F43" i="7"/>
  <c r="G42" i="7"/>
  <c r="G40" i="7"/>
  <c r="E14" i="10"/>
  <c r="E9" i="10"/>
  <c r="E7" i="10"/>
  <c r="D43" i="7" l="1"/>
  <c r="E43" i="7"/>
  <c r="G43" i="7" s="1"/>
  <c r="V38" i="7"/>
  <c r="W38" i="7"/>
  <c r="E12" i="7"/>
  <c r="G12" i="7" s="1"/>
  <c r="E18" i="7"/>
  <c r="G18" i="7" s="1"/>
  <c r="E16" i="7"/>
  <c r="G16" i="7" s="1"/>
  <c r="E21" i="7"/>
  <c r="G21" i="7" s="1"/>
  <c r="E22" i="7"/>
  <c r="G22" i="7" s="1"/>
  <c r="E20" i="7"/>
  <c r="G20" i="7" s="1"/>
  <c r="D8" i="7"/>
  <c r="E8" i="7" s="1"/>
  <c r="E10" i="7"/>
  <c r="G10" i="7" s="1"/>
  <c r="E5" i="7"/>
  <c r="G5" i="7" s="1"/>
  <c r="E25" i="7"/>
  <c r="G25" i="7" s="1"/>
  <c r="E14" i="7"/>
  <c r="G14" i="7" s="1"/>
  <c r="E15" i="7"/>
  <c r="G15" i="7" s="1"/>
  <c r="E17" i="7"/>
  <c r="G17" i="7" s="1"/>
  <c r="E26" i="7"/>
  <c r="G26" i="7" s="1"/>
  <c r="F13" i="7"/>
  <c r="E11" i="7"/>
  <c r="F11" i="7"/>
  <c r="E13" i="7"/>
  <c r="E9" i="7"/>
  <c r="G9" i="7" s="1"/>
  <c r="E7" i="7"/>
  <c r="E6" i="7"/>
  <c r="E4" i="7"/>
  <c r="F8" i="7"/>
  <c r="D41" i="7" l="1"/>
  <c r="E41" i="7" s="1"/>
  <c r="G41" i="7" s="1"/>
  <c r="G63" i="7" s="1"/>
  <c r="G11" i="7"/>
  <c r="G13" i="7"/>
  <c r="G64" i="7" l="1"/>
  <c r="G66" i="7" s="1"/>
  <c r="G6" i="7"/>
  <c r="G68" i="7" l="1"/>
  <c r="G67" i="7"/>
  <c r="G7" i="7"/>
  <c r="G8" i="7"/>
  <c r="G4" i="7"/>
  <c r="G27" i="7" s="1"/>
  <c r="G69" i="7" l="1"/>
  <c r="D3" i="10" s="1"/>
  <c r="E3" i="10" s="1"/>
  <c r="E17" i="10" s="1"/>
  <c r="G28" i="7"/>
  <c r="G30" i="7" s="1"/>
  <c r="G32" i="7" l="1"/>
  <c r="G31" i="7"/>
  <c r="G33" i="7" l="1"/>
  <c r="D4" i="9" s="1"/>
  <c r="E4" i="9" s="1"/>
</calcChain>
</file>

<file path=xl/sharedStrings.xml><?xml version="1.0" encoding="utf-8"?>
<sst xmlns="http://schemas.openxmlformats.org/spreadsheetml/2006/main" count="171" uniqueCount="82">
  <si>
    <t>BİRİM</t>
  </si>
  <si>
    <t>BİRİM FİYAT</t>
  </si>
  <si>
    <t>TUTAR €</t>
  </si>
  <si>
    <t>LAMİNAT KAPLAMA 0,6 MM</t>
  </si>
  <si>
    <t>MİNERALPLUS 50 MM</t>
  </si>
  <si>
    <t>m2</t>
  </si>
  <si>
    <t>DUVAR MALZEMELERİ</t>
  </si>
  <si>
    <t>Plaka</t>
  </si>
  <si>
    <t>mt</t>
  </si>
  <si>
    <t>Toplam Sarfiyat</t>
  </si>
  <si>
    <t>AÇIKLAMA</t>
  </si>
  <si>
    <t>Bir modül sarfiyat</t>
  </si>
  <si>
    <t>euro</t>
  </si>
  <si>
    <t>Bir  Modül Malzemesi</t>
  </si>
  <si>
    <t>Toplam Malzeme</t>
  </si>
  <si>
    <t>en</t>
  </si>
  <si>
    <t>boy</t>
  </si>
  <si>
    <t>h</t>
  </si>
  <si>
    <t>çevre</t>
  </si>
  <si>
    <t>tavan</t>
  </si>
  <si>
    <t>duvar alan</t>
  </si>
  <si>
    <t>yatak</t>
  </si>
  <si>
    <t>yatak tavan</t>
  </si>
  <si>
    <t>alt yatak başı</t>
  </si>
  <si>
    <t>toplam lam yüzey</t>
  </si>
  <si>
    <t>kapı yanı duvar</t>
  </si>
  <si>
    <t>toplam profil alan</t>
  </si>
  <si>
    <t>Adet</t>
  </si>
  <si>
    <t>KUTU PROFİL 50x50x2 mm</t>
  </si>
  <si>
    <t>KUMAŞ KAPLI PANEL</t>
  </si>
  <si>
    <t>ÇEKMECE MEKANİZMASI</t>
  </si>
  <si>
    <t>SÜRGÜ KAPI MEKANİZMASI</t>
  </si>
  <si>
    <t>LED AYDINLATMA</t>
  </si>
  <si>
    <t>ELEKTRİK KABLO-SARF MALZEME</t>
  </si>
  <si>
    <t>Set</t>
  </si>
  <si>
    <t>AMBALAJ</t>
  </si>
  <si>
    <t>ADET</t>
  </si>
  <si>
    <t>Fiyat</t>
  </si>
  <si>
    <t>TUTAR</t>
  </si>
  <si>
    <t xml:space="preserve">SIDEPODS </t>
  </si>
  <si>
    <t>Plan ve tasarımlara göre; 1,00x2,30 ölçülerinde yatağa sahip, üst ve alt yatağa yan erişimi olan iki bölmeden oluşan bireysel SIDEPOD yapısı. Planlara uygun finişe sahip neme dayanıklı (hidrofobik) MDF’den inşa edilecek olup, yapının iç kısmı neme dayanıklı MDF ve akustik levha ile takviye edilecektir (şartlar karşılıklı belirlenecektir). Yatak bölmesinin iç kısmı ELASTRON ile kaplanacak ve tasarıma göre paneller/kısımlar oluşturulacaktır. İç bölme; prizler, anahtarlar, 2700ºK sıcak ton gizli iç LED şerit ile teslim edilecek ve şebekeye bağlanmaya hazır olacaktır. Havalandırma ızgaraları ve FONODAN 50 ile zemine akustik bant desteği dahildir. Dış yüzeyleri tasarıma uygun MDF ve iç dolgusu XPS olan sandviç panel duvarlardan oluşan kapama modu, merdivenler ve sürgülü kapama kapısı dahildir. Nakliye, stoklama, şantiye içi taşıma ve bağlantı işleri fiyata dahildir.</t>
  </si>
  <si>
    <t>NAKLİYELER</t>
  </si>
  <si>
    <t>İşçilik</t>
  </si>
  <si>
    <t>Ara toplam</t>
  </si>
  <si>
    <t>Kar %20</t>
  </si>
  <si>
    <t>Satış Fiyatı</t>
  </si>
  <si>
    <t>METAL MERDİVEN</t>
  </si>
  <si>
    <t>Genel Gider %7</t>
  </si>
  <si>
    <t>SARF MALZEME</t>
  </si>
  <si>
    <t>AKUSTİK STRİP</t>
  </si>
  <si>
    <t>METAL KÖŞEBENT</t>
  </si>
  <si>
    <t>ÇEKMECE KİLİDİ</t>
  </si>
  <si>
    <t>ELEKTRİK ANAHTARI</t>
  </si>
  <si>
    <t>YAZI VE NUMARALAR  (metal kesim)</t>
  </si>
  <si>
    <t>SÜRGÜ KAPI ÇERÇEVESİ</t>
  </si>
  <si>
    <t>PRİZ +TYPE-C  ÜNİTESİ</t>
  </si>
  <si>
    <t xml:space="preserve">DOUBLE </t>
  </si>
  <si>
    <t>Plan ve tasarıma göre; 3,60x2,30 ölçülerinde çift kişilik yatağa sahip, üst ve alt yatağa erişimi olan iki bölmeden oluşan çiftli POD yapısı. Planlara uygun finişe sahip neme dayanıklı MDF’den inşa edilecek olup, yapının iç kısmı neme dayanıklı MDF ve akustik levha ile takviye edilecektir (şartlar karşılıklı belirlenecektir). Yatak bölmesinin iç kısmı ELASTRON ile kaplanacak ve tasarıma göre paneller oluşturulacaktır. İç bölme; dolap bölgesinde prizler, 2700ºK sıcak ton gizli iç LED şerit ile teslim edilecek ve şebekeye bağlanmaya hazır olacaktır. Havalandırma ızgaraları ve FONODAN 50 ile zemine akustik bant desteği dahildir. Dış yüzeyleri tasarıma uygun MDF ve iç dolgusu XPS olan sandviç panel duvarlardan oluşan kapatma modu, aynı finişe sahip çerçevesiz açılır giriş kapıları, mülkiyet tarafından tedarik edilecek elektronik kilit için iç mekanik hazırlık, sızdırmazlık için çevre dolgusu, nakliye, stoklama, şantiye içi taşıma ve bağlantı işleri dahildir.</t>
  </si>
  <si>
    <t>AKUSTİK KAPI BİNDİSİ (AKUSTİK FİTİLLİ KAPI ÇITASI)</t>
  </si>
  <si>
    <t>Otomatik kapı altı fırçası (giyotin), KG-S, 80 cm Planet</t>
  </si>
  <si>
    <t>GİZLİ İÇTEN YAVAŞLATICI (AMORTİSÖRLÜ) MENTEŞELİ KAPI KAPATMA SİSTEMİ</t>
  </si>
  <si>
    <t>Inther marka Beta 3045 model veya muadili, üç noktadan kilitlemeli sistemden oluşur.</t>
  </si>
  <si>
    <t>ALTERNATİF</t>
  </si>
  <si>
    <t>DOUBLE</t>
  </si>
  <si>
    <t>Çift kişilik POD yapısı: 3,60x2,30 ölçülerinde çift kişilik yatak kapasiteli, plan ve tasarıma uygun olarak üst ve alt yatak erişimi sağlayan iki bölmeden oluşur.
Yapı, GP-RES-LDR ve 20 kg/m² yoğunlukta polistiren ile inşa edilecek; darbe emici DANOSA MAD 4 akustik lamine panel ve planlara uygun kaplama ile tamamlanacaktır. İç yapı, neme dayanıklı MDF (yeşil MDF) ve akustik katmanlarla güçlendirilecektir.
Yatak bölmesinin iç kısmı ELASTRON kumaş ile döşenecek ve tasarıma uygun panel (cuarteron) detayları yapılacaktır. İç mekanda dolap bölgesinde prizler, 2700K sıcak beyaz gizli LED şerit aydınlatma bulunacak ve sistem şebekeye bağlanmaya hazır halde teslim edilecektir. Havalandırma ızgaraları ve zemine temas noktalarında FONODAN 50 akustik bantlar kullanılacaktır.
Kapatma sistemi; dış yüzeyleri tasarıma uygun MDF, iç dolgusu ise XPS olan sandviç panellerden oluşacaktır. Aynı kaplamaya sahip, kasasız (hem yüz) kanatlı giriş kapıları ve mülkiyet tarafından sağlanan elektronik kilitler için gerekli iç mekanik hazırlıklar dahildir. Fiyata/işe; sızdırmazlık için çevre koruma dolgusu, nakliye, stoklama, şantiye içi taşıma ve bağlantı işlemleri dahildir.</t>
  </si>
  <si>
    <t>TOTAL</t>
  </si>
  <si>
    <t>SIDEPOD</t>
  </si>
  <si>
    <t>PODS</t>
  </si>
  <si>
    <t>KONTRAPLAK</t>
  </si>
  <si>
    <t>PERFORE PANEL SÜRGÜ KAPI</t>
  </si>
  <si>
    <t>İÇ NAKLİYELER</t>
  </si>
  <si>
    <t>AKUSTİK KAPI</t>
  </si>
  <si>
    <t>yatak yanı</t>
  </si>
  <si>
    <t>DUVAR DOLABI</t>
  </si>
  <si>
    <t>METAL KORKULUK</t>
  </si>
  <si>
    <t>APLİK</t>
  </si>
  <si>
    <t>AYNA</t>
  </si>
  <si>
    <t>AÇIK DOLAP ÜNİTESİ</t>
  </si>
  <si>
    <t>YATAK</t>
  </si>
  <si>
    <t>METAL PROFİL</t>
  </si>
  <si>
    <t>METAL ASKI</t>
  </si>
  <si>
    <t>Hariçtir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</si>
</sst>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 &quot;€&quot;"/>
  </numFmts>
  <fonts count="7" x14ac:knownFonts="1">
    <font>
      <sz val="11"/>
      <color theme="1"/>
      <name val="Aptos Narrow"/>
      <family val="2"/>
      <charset val="162"/>
      <scheme val="minor"/>
    </font>
    <font>
      <b/>
      <sz val="11"/>
      <color theme="1"/>
      <name val="Aptos Narrow"/>
      <family val="2"/>
      <charset val="162"/>
      <scheme val="minor"/>
    </font>
    <font>
      <sz val="11"/>
      <color rgb="FF002060"/>
      <name val="Aptos Narrow"/>
      <family val="2"/>
      <charset val="162"/>
      <scheme val="minor"/>
    </font>
    <font>
      <sz val="11"/>
      <color rgb="FFFF0000"/>
      <name val="Aptos Narrow"/>
      <family val="2"/>
      <charset val="162"/>
      <scheme val="minor"/>
    </font>
    <font>
      <b/>
      <sz val="11"/>
      <color theme="1"/>
      <name val="Aptos Narrow"/>
      <family val="2"/>
      <scheme val="minor"/>
    </font>
    <font>
      <sz val="11"/>
      <color theme="1"/>
      <name val="Aptos Narrow"/>
      <family val="2"/>
      <scheme val="minor"/>
    </font>
    <font>
      <b/>
      <i/>
      <sz val="24"/>
      <color theme="1"/>
      <name val="Aptos Narrow"/>
      <family val="2"/>
      <scheme val="minor"/>
    </font>
  </fonts>
  <fills count="4">
    <fill>
      <patternFill patternType="none"/>
    </fill>
    <fill>
      <patternFill patternType="gray125"/>
    </fill>
    <fill>
      <patternFill patternType="solid">
        <fgColor theme="0" tint="-9.9978637043366805E-2"/>
        <bgColor indexed="64"/>
      </patternFill>
    </fill>
    <fill>
      <patternFill patternType="solid">
        <fgColor theme="2" tint="-9.9978637043366805E-2"/>
        <bgColor indexed="64"/>
      </patternFill>
    </fill>
  </fills>
  <borders count="2">
    <border>
      <left/>
      <right/>
      <top/>
      <bottom/>
      <diagonal/>
    </border>
    <border>
      <left style="thin">
        <color rgb="FF505050"/>
      </left>
      <right style="thin">
        <color rgb="FF505050"/>
      </right>
      <top style="thin">
        <color rgb="FF505050"/>
      </top>
      <bottom style="thin">
        <color rgb="FF505050"/>
      </bottom>
      <diagonal/>
    </border>
  </borders>
  <cellStyleXfs count="2">
    <xf numFmtId="0" fontId="0" fillId="0" borderId="0"/>
    <xf numFmtId="0" fontId="5" fillId="0" borderId="0"/>
  </cellStyleXfs>
  <cellXfs count="35">
    <xf numFmtId="0" fontId="0" fillId="0" borderId="0" xfId="0"/>
    <xf numFmtId="0" fontId="0" fillId="0" borderId="0" xfId="0" applyAlignment="1">
      <alignment horizontal="center" vertical="center" wrapText="1"/>
    </xf>
    <xf numFmtId="0" fontId="0" fillId="0" borderId="1" xfId="0" applyBorder="1"/>
    <xf numFmtId="0" fontId="2" fillId="2" borderId="1" xfId="0" applyFont="1" applyFill="1" applyBorder="1" applyAlignment="1">
      <alignment horizontal="center" vertical="center" wrapText="1"/>
    </xf>
    <xf numFmtId="0" fontId="0" fillId="0" borderId="1" xfId="0" applyBorder="1" applyAlignment="1">
      <alignment horizontal="center" vertical="center"/>
    </xf>
    <xf numFmtId="43" fontId="0" fillId="0" borderId="1" xfId="0" applyNumberFormat="1" applyBorder="1"/>
    <xf numFmtId="43" fontId="0" fillId="0" borderId="0" xfId="0" applyNumberFormat="1"/>
    <xf numFmtId="0" fontId="1" fillId="0" borderId="0" xfId="0" applyFont="1"/>
    <xf numFmtId="43" fontId="0" fillId="0" borderId="1" xfId="0" applyNumberFormat="1" applyBorder="1" applyAlignment="1">
      <alignment horizontal="center" vertical="center"/>
    </xf>
    <xf numFmtId="0" fontId="1" fillId="0" borderId="0" xfId="0" applyFont="1" applyAlignment="1">
      <alignment horizontal="right"/>
    </xf>
    <xf numFmtId="43" fontId="1" fillId="0" borderId="0" xfId="0" applyNumberFormat="1" applyFont="1"/>
    <xf numFmtId="1" fontId="0" fillId="0" borderId="0" xfId="0" applyNumberFormat="1"/>
    <xf numFmtId="0" fontId="5" fillId="0" borderId="0" xfId="1" applyAlignment="1">
      <alignment horizontal="center"/>
    </xf>
    <xf numFmtId="0" fontId="6" fillId="0" borderId="0" xfId="1" applyFont="1"/>
    <xf numFmtId="0" fontId="5" fillId="0" borderId="0" xfId="1"/>
    <xf numFmtId="0" fontId="5" fillId="0" borderId="0" xfId="1" applyAlignment="1">
      <alignment wrapText="1"/>
    </xf>
    <xf numFmtId="4" fontId="4" fillId="0" borderId="0" xfId="1" applyNumberFormat="1" applyFont="1"/>
    <xf numFmtId="0" fontId="4" fillId="0" borderId="0" xfId="1" applyFont="1" applyAlignment="1">
      <alignment wrapText="1"/>
    </xf>
    <xf numFmtId="4" fontId="5" fillId="0" borderId="0" xfId="1" applyNumberFormat="1"/>
    <xf numFmtId="164" fontId="5" fillId="0" borderId="0" xfId="1" applyNumberFormat="1"/>
    <xf numFmtId="0" fontId="0" fillId="0" borderId="0" xfId="0" applyAlignment="1">
      <alignment horizontal="right"/>
    </xf>
    <xf numFmtId="0" fontId="5" fillId="0" borderId="0" xfId="0" applyFont="1" applyAlignment="1">
      <alignment horizontal="right"/>
    </xf>
    <xf numFmtId="43" fontId="5" fillId="0" borderId="0" xfId="0" applyNumberFormat="1" applyFont="1"/>
    <xf numFmtId="0" fontId="4" fillId="0" borderId="0" xfId="0" applyFont="1" applyAlignment="1">
      <alignment horizontal="right"/>
    </xf>
    <xf numFmtId="43" fontId="4" fillId="0" borderId="0" xfId="0" applyNumberFormat="1" applyFont="1"/>
    <xf numFmtId="0" fontId="6" fillId="0" borderId="0" xfId="1" applyFont="1" applyAlignment="1">
      <alignment horizontal="center"/>
    </xf>
    <xf numFmtId="0" fontId="5" fillId="3" borderId="0" xfId="1" applyFill="1" applyAlignment="1">
      <alignment horizontal="center"/>
    </xf>
    <xf numFmtId="0" fontId="4" fillId="3" borderId="0" xfId="1" applyFont="1" applyFill="1" applyAlignment="1">
      <alignment wrapText="1"/>
    </xf>
    <xf numFmtId="164" fontId="4" fillId="0" borderId="0" xfId="1" applyNumberFormat="1" applyFont="1"/>
    <xf numFmtId="2" fontId="0" fillId="0" borderId="0" xfId="0" applyNumberFormat="1"/>
    <xf numFmtId="2" fontId="0" fillId="0" borderId="1" xfId="0" applyNumberFormat="1" applyBorder="1" applyAlignment="1">
      <alignment horizontal="center" vertical="center"/>
    </xf>
    <xf numFmtId="0" fontId="4" fillId="0" borderId="0" xfId="0" applyFont="1"/>
    <xf numFmtId="0" fontId="3" fillId="0" borderId="1" xfId="0" applyFont="1" applyBorder="1"/>
    <xf numFmtId="0" fontId="3" fillId="0" borderId="1" xfId="0" applyFont="1" applyBorder="1" applyAlignment="1">
      <alignment horizontal="center" vertical="center"/>
    </xf>
    <xf numFmtId="43" fontId="3" fillId="0" borderId="1" xfId="0" applyNumberFormat="1" applyFont="1" applyBorder="1"/>
  </cellXfs>
  <cellStyles count="2">
    <cellStyle name="Normal" xfId="0" builtinId="0"/>
    <cellStyle name="Normal 2" xfId="1" xr:uid="{176383CB-4B58-4354-B581-C2C2415B48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97E96-6341-422D-B921-15F6511A0E90}">
  <dimension ref="B2:W69"/>
  <sheetViews>
    <sheetView tabSelected="1" zoomScale="110" zoomScaleNormal="110" zoomScaleSheetLayoutView="100" workbookViewId="0">
      <selection activeCell="J12" sqref="J12"/>
    </sheetView>
  </sheetViews>
  <sheetFormatPr defaultRowHeight="14.4" x14ac:dyDescent="0.3"/>
  <cols>
    <col min="2" max="2" width="30.33203125" bestFit="1" customWidth="1"/>
    <col min="3" max="3" width="9.5546875" customWidth="1"/>
    <col min="4" max="4" width="9.44140625" bestFit="1" customWidth="1"/>
    <col min="5" max="5" width="10.6640625" bestFit="1" customWidth="1"/>
    <col min="6" max="6" width="9.77734375" customWidth="1"/>
    <col min="7" max="7" width="11.44140625" customWidth="1"/>
    <col min="8" max="8" width="32" customWidth="1"/>
    <col min="15" max="15" width="9.5546875" bestFit="1" customWidth="1"/>
    <col min="24" max="24" width="15" customWidth="1"/>
    <col min="25" max="25" width="14.33203125" customWidth="1"/>
  </cols>
  <sheetData>
    <row r="2" spans="2:10" x14ac:dyDescent="0.3">
      <c r="B2" s="31" t="s">
        <v>66</v>
      </c>
    </row>
    <row r="3" spans="2:10" s="1" customFormat="1" ht="28.8" x14ac:dyDescent="0.3">
      <c r="B3" s="3" t="s">
        <v>6</v>
      </c>
      <c r="C3" s="3" t="s">
        <v>0</v>
      </c>
      <c r="D3" s="3" t="s">
        <v>11</v>
      </c>
      <c r="E3" s="3" t="s">
        <v>9</v>
      </c>
      <c r="F3" s="3" t="s">
        <v>1</v>
      </c>
      <c r="G3" s="3" t="s">
        <v>2</v>
      </c>
      <c r="H3" s="3" t="s">
        <v>10</v>
      </c>
    </row>
    <row r="4" spans="2:10" x14ac:dyDescent="0.3">
      <c r="B4" s="2" t="s">
        <v>68</v>
      </c>
      <c r="C4" s="4" t="s">
        <v>7</v>
      </c>
      <c r="D4" s="4">
        <v>6</v>
      </c>
      <c r="E4" s="5">
        <f>D4*22</f>
        <v>132</v>
      </c>
      <c r="F4" s="5">
        <f>4900/53</f>
        <v>92.452830188679243</v>
      </c>
      <c r="G4" s="5">
        <f>E4*F4</f>
        <v>12203.773584905661</v>
      </c>
      <c r="H4" s="5"/>
      <c r="I4" s="6"/>
      <c r="J4" s="6"/>
    </row>
    <row r="5" spans="2:10" x14ac:dyDescent="0.3">
      <c r="B5" s="2" t="s">
        <v>69</v>
      </c>
      <c r="C5" s="4" t="s">
        <v>5</v>
      </c>
      <c r="D5" s="4">
        <v>4.2</v>
      </c>
      <c r="E5" s="5">
        <f>D5*22</f>
        <v>92.4</v>
      </c>
      <c r="F5" s="5">
        <v>14</v>
      </c>
      <c r="G5" s="5">
        <f>E5*F5</f>
        <v>1293.6000000000001</v>
      </c>
      <c r="H5" s="5"/>
      <c r="I5" s="6"/>
      <c r="J5" s="6"/>
    </row>
    <row r="6" spans="2:10" x14ac:dyDescent="0.3">
      <c r="B6" s="2" t="s">
        <v>3</v>
      </c>
      <c r="C6" s="4" t="s">
        <v>5</v>
      </c>
      <c r="D6" s="4">
        <v>24</v>
      </c>
      <c r="E6" s="5">
        <f>D6*22</f>
        <v>528</v>
      </c>
      <c r="F6" s="5">
        <v>8</v>
      </c>
      <c r="G6" s="5">
        <f t="shared" ref="G6:G7" si="0">E6*F6</f>
        <v>4224</v>
      </c>
      <c r="H6" s="5"/>
    </row>
    <row r="7" spans="2:10" x14ac:dyDescent="0.3">
      <c r="B7" s="2" t="s">
        <v>4</v>
      </c>
      <c r="C7" s="4" t="s">
        <v>5</v>
      </c>
      <c r="D7" s="4">
        <v>6</v>
      </c>
      <c r="E7" s="5">
        <f>D7*22</f>
        <v>132</v>
      </c>
      <c r="F7" s="5">
        <v>1.5</v>
      </c>
      <c r="G7" s="5">
        <f t="shared" si="0"/>
        <v>198</v>
      </c>
      <c r="H7" s="5"/>
    </row>
    <row r="8" spans="2:10" x14ac:dyDescent="0.3">
      <c r="B8" s="2" t="s">
        <v>28</v>
      </c>
      <c r="C8" s="4" t="s">
        <v>8</v>
      </c>
      <c r="D8" s="8">
        <f>12*7</f>
        <v>84</v>
      </c>
      <c r="E8" s="5">
        <f>D8*22</f>
        <v>1848</v>
      </c>
      <c r="F8" s="5">
        <f>(685/6/52)</f>
        <v>2.1955128205128207</v>
      </c>
      <c r="G8" s="5">
        <f t="shared" ref="G8:G26" si="1">E8*F8</f>
        <v>4057.3076923076928</v>
      </c>
      <c r="H8" s="5"/>
    </row>
    <row r="9" spans="2:10" x14ac:dyDescent="0.3">
      <c r="B9" s="2" t="s">
        <v>29</v>
      </c>
      <c r="C9" s="4" t="s">
        <v>5</v>
      </c>
      <c r="D9" s="8">
        <v>10</v>
      </c>
      <c r="E9" s="5">
        <f>D9*22</f>
        <v>220</v>
      </c>
      <c r="F9" s="5">
        <v>20</v>
      </c>
      <c r="G9" s="5">
        <f t="shared" si="1"/>
        <v>4400</v>
      </c>
      <c r="H9" s="5"/>
    </row>
    <row r="10" spans="2:10" x14ac:dyDescent="0.3">
      <c r="B10" s="2" t="s">
        <v>46</v>
      </c>
      <c r="C10" s="4" t="s">
        <v>27</v>
      </c>
      <c r="D10" s="8">
        <v>1</v>
      </c>
      <c r="E10" s="5">
        <f>D10*22</f>
        <v>22</v>
      </c>
      <c r="F10" s="5">
        <v>35</v>
      </c>
      <c r="G10" s="5">
        <f t="shared" si="1"/>
        <v>770</v>
      </c>
      <c r="H10" s="5"/>
    </row>
    <row r="11" spans="2:10" x14ac:dyDescent="0.3">
      <c r="B11" s="2" t="s">
        <v>30</v>
      </c>
      <c r="C11" s="4" t="s">
        <v>27</v>
      </c>
      <c r="D11" s="4">
        <v>2</v>
      </c>
      <c r="E11" s="5">
        <f>D11*22</f>
        <v>44</v>
      </c>
      <c r="F11" s="5">
        <f>2000/53</f>
        <v>37.735849056603776</v>
      </c>
      <c r="G11" s="5">
        <f t="shared" si="1"/>
        <v>1660.3773584905662</v>
      </c>
      <c r="H11" s="5"/>
    </row>
    <row r="12" spans="2:10" x14ac:dyDescent="0.3">
      <c r="B12" s="2" t="s">
        <v>54</v>
      </c>
      <c r="C12" s="4" t="s">
        <v>27</v>
      </c>
      <c r="D12" s="4">
        <v>2</v>
      </c>
      <c r="E12" s="5">
        <f>D12*22</f>
        <v>44</v>
      </c>
      <c r="F12" s="5">
        <v>34</v>
      </c>
      <c r="G12" s="5">
        <f t="shared" si="1"/>
        <v>1496</v>
      </c>
      <c r="H12" s="5"/>
    </row>
    <row r="13" spans="2:10" x14ac:dyDescent="0.3">
      <c r="B13" s="2" t="s">
        <v>31</v>
      </c>
      <c r="C13" s="4" t="s">
        <v>27</v>
      </c>
      <c r="D13" s="4">
        <v>2</v>
      </c>
      <c r="E13" s="5">
        <f t="shared" ref="E13:E26" si="2">D13*22</f>
        <v>44</v>
      </c>
      <c r="F13" s="5">
        <f>4000/53</f>
        <v>75.471698113207552</v>
      </c>
      <c r="G13" s="5">
        <f t="shared" si="1"/>
        <v>3320.7547169811323</v>
      </c>
      <c r="H13" s="5"/>
      <c r="I13" s="6"/>
    </row>
    <row r="14" spans="2:10" x14ac:dyDescent="0.3">
      <c r="B14" s="2" t="s">
        <v>32</v>
      </c>
      <c r="C14" s="4" t="s">
        <v>27</v>
      </c>
      <c r="D14" s="4">
        <v>2</v>
      </c>
      <c r="E14" s="5">
        <f t="shared" si="2"/>
        <v>44</v>
      </c>
      <c r="F14" s="5">
        <v>20</v>
      </c>
      <c r="G14" s="5">
        <f t="shared" si="1"/>
        <v>880</v>
      </c>
      <c r="H14" s="5"/>
      <c r="I14" s="6"/>
    </row>
    <row r="15" spans="2:10" x14ac:dyDescent="0.3">
      <c r="B15" s="2" t="s">
        <v>55</v>
      </c>
      <c r="C15" s="4" t="s">
        <v>27</v>
      </c>
      <c r="D15" s="4">
        <v>2</v>
      </c>
      <c r="E15" s="5">
        <f t="shared" si="2"/>
        <v>44</v>
      </c>
      <c r="F15" s="5">
        <v>30</v>
      </c>
      <c r="G15" s="5">
        <f t="shared" si="1"/>
        <v>1320</v>
      </c>
      <c r="H15" s="5"/>
      <c r="I15" s="6"/>
    </row>
    <row r="16" spans="2:10" x14ac:dyDescent="0.3">
      <c r="B16" s="2" t="s">
        <v>52</v>
      </c>
      <c r="C16" s="4" t="s">
        <v>27</v>
      </c>
      <c r="D16" s="4">
        <v>2</v>
      </c>
      <c r="E16" s="5">
        <f t="shared" si="2"/>
        <v>44</v>
      </c>
      <c r="F16" s="5">
        <v>8.5</v>
      </c>
      <c r="G16" s="5">
        <f t="shared" si="1"/>
        <v>374</v>
      </c>
      <c r="H16" s="5"/>
      <c r="I16" s="6"/>
    </row>
    <row r="17" spans="2:15" x14ac:dyDescent="0.3">
      <c r="B17" s="2" t="s">
        <v>33</v>
      </c>
      <c r="C17" s="4" t="s">
        <v>34</v>
      </c>
      <c r="D17" s="4">
        <v>1</v>
      </c>
      <c r="E17" s="5">
        <f t="shared" si="2"/>
        <v>22</v>
      </c>
      <c r="F17" s="5">
        <v>22</v>
      </c>
      <c r="G17" s="5">
        <f t="shared" si="1"/>
        <v>484</v>
      </c>
      <c r="H17" s="5"/>
      <c r="I17" s="6"/>
    </row>
    <row r="18" spans="2:15" x14ac:dyDescent="0.3">
      <c r="B18" s="2" t="s">
        <v>53</v>
      </c>
      <c r="C18" s="4" t="s">
        <v>34</v>
      </c>
      <c r="D18" s="4">
        <v>1</v>
      </c>
      <c r="E18" s="5">
        <f t="shared" si="2"/>
        <v>22</v>
      </c>
      <c r="F18" s="5">
        <v>15</v>
      </c>
      <c r="G18" s="5">
        <f t="shared" si="1"/>
        <v>330</v>
      </c>
      <c r="H18" s="5"/>
      <c r="I18" s="6"/>
    </row>
    <row r="19" spans="2:15" x14ac:dyDescent="0.3">
      <c r="B19" s="2" t="s">
        <v>73</v>
      </c>
      <c r="C19" s="4" t="s">
        <v>27</v>
      </c>
      <c r="D19" s="4">
        <v>2</v>
      </c>
      <c r="E19" s="5">
        <f t="shared" si="2"/>
        <v>44</v>
      </c>
      <c r="F19" s="5">
        <v>45</v>
      </c>
      <c r="G19" s="5">
        <f t="shared" si="1"/>
        <v>1980</v>
      </c>
      <c r="H19" s="5"/>
      <c r="I19" s="6"/>
    </row>
    <row r="20" spans="2:15" x14ac:dyDescent="0.3">
      <c r="B20" s="2" t="s">
        <v>49</v>
      </c>
      <c r="C20" s="4" t="s">
        <v>8</v>
      </c>
      <c r="D20" s="4">
        <v>12</v>
      </c>
      <c r="E20" s="5">
        <f t="shared" si="2"/>
        <v>264</v>
      </c>
      <c r="F20" s="5">
        <v>3</v>
      </c>
      <c r="G20" s="5">
        <f t="shared" si="1"/>
        <v>792</v>
      </c>
      <c r="H20" s="5"/>
      <c r="I20" s="6"/>
    </row>
    <row r="21" spans="2:15" x14ac:dyDescent="0.3">
      <c r="B21" s="2" t="s">
        <v>51</v>
      </c>
      <c r="C21" s="4" t="s">
        <v>27</v>
      </c>
      <c r="D21" s="4">
        <v>2</v>
      </c>
      <c r="E21" s="5">
        <f t="shared" si="2"/>
        <v>44</v>
      </c>
      <c r="F21" s="5">
        <v>9.5</v>
      </c>
      <c r="G21" s="5">
        <f t="shared" si="1"/>
        <v>418</v>
      </c>
      <c r="H21" s="5"/>
      <c r="I21" s="6"/>
    </row>
    <row r="22" spans="2:15" x14ac:dyDescent="0.3">
      <c r="B22" s="2" t="s">
        <v>50</v>
      </c>
      <c r="C22" s="4" t="s">
        <v>8</v>
      </c>
      <c r="D22" s="4">
        <v>6</v>
      </c>
      <c r="E22" s="5">
        <f t="shared" si="2"/>
        <v>132</v>
      </c>
      <c r="F22" s="5">
        <v>3.5</v>
      </c>
      <c r="G22" s="5">
        <f t="shared" si="1"/>
        <v>462</v>
      </c>
      <c r="H22" s="5"/>
      <c r="I22" s="6"/>
    </row>
    <row r="23" spans="2:15" x14ac:dyDescent="0.3">
      <c r="B23" s="32" t="s">
        <v>78</v>
      </c>
      <c r="C23" s="33" t="s">
        <v>27</v>
      </c>
      <c r="D23" s="33">
        <v>2</v>
      </c>
      <c r="E23" s="34">
        <f>D23*22</f>
        <v>44</v>
      </c>
      <c r="F23" s="34"/>
      <c r="G23" s="34">
        <f t="shared" si="1"/>
        <v>0</v>
      </c>
      <c r="H23" s="34" t="s">
        <v>81</v>
      </c>
    </row>
    <row r="24" spans="2:15" x14ac:dyDescent="0.3">
      <c r="B24" s="2" t="s">
        <v>48</v>
      </c>
      <c r="C24" s="4" t="s">
        <v>34</v>
      </c>
      <c r="D24" s="4">
        <v>1</v>
      </c>
      <c r="E24" s="5">
        <f t="shared" si="2"/>
        <v>22</v>
      </c>
      <c r="F24" s="5">
        <v>6</v>
      </c>
      <c r="G24" s="5">
        <f t="shared" si="1"/>
        <v>132</v>
      </c>
      <c r="H24" s="5"/>
      <c r="I24" s="6"/>
    </row>
    <row r="25" spans="2:15" x14ac:dyDescent="0.3">
      <c r="B25" s="2" t="s">
        <v>35</v>
      </c>
      <c r="C25" s="4" t="s">
        <v>34</v>
      </c>
      <c r="D25" s="4">
        <v>1</v>
      </c>
      <c r="E25" s="5">
        <f t="shared" si="2"/>
        <v>22</v>
      </c>
      <c r="F25" s="2">
        <v>60</v>
      </c>
      <c r="G25" s="5">
        <f t="shared" ref="G25" si="3">E25*F25</f>
        <v>1320</v>
      </c>
      <c r="H25" s="2"/>
    </row>
    <row r="26" spans="2:15" x14ac:dyDescent="0.3">
      <c r="B26" s="2" t="s">
        <v>70</v>
      </c>
      <c r="C26" s="4" t="s">
        <v>34</v>
      </c>
      <c r="D26" s="4">
        <v>1</v>
      </c>
      <c r="E26" s="5">
        <f t="shared" si="2"/>
        <v>22</v>
      </c>
      <c r="F26" s="2">
        <v>30</v>
      </c>
      <c r="G26" s="5">
        <f t="shared" si="1"/>
        <v>660</v>
      </c>
      <c r="H26" s="2"/>
    </row>
    <row r="27" spans="2:15" x14ac:dyDescent="0.3">
      <c r="F27" s="9" t="s">
        <v>14</v>
      </c>
      <c r="G27" s="10">
        <f>SUM(G4:G26)</f>
        <v>42775.813352685051</v>
      </c>
      <c r="H27" t="s">
        <v>12</v>
      </c>
    </row>
    <row r="28" spans="2:15" x14ac:dyDescent="0.3">
      <c r="F28" s="9" t="s">
        <v>13</v>
      </c>
      <c r="G28" s="10">
        <f>G27/22</f>
        <v>1944.3551523947751</v>
      </c>
      <c r="H28" t="s">
        <v>12</v>
      </c>
    </row>
    <row r="29" spans="2:15" x14ac:dyDescent="0.3">
      <c r="E29" s="20" t="s">
        <v>42</v>
      </c>
      <c r="F29" s="20"/>
      <c r="G29" s="22">
        <v>970</v>
      </c>
      <c r="H29" t="s">
        <v>12</v>
      </c>
      <c r="O29" s="11"/>
    </row>
    <row r="30" spans="2:15" x14ac:dyDescent="0.3">
      <c r="E30" s="23" t="s">
        <v>43</v>
      </c>
      <c r="F30" s="23"/>
      <c r="G30" s="24">
        <f>SUM(G28:G29)</f>
        <v>2914.3551523947754</v>
      </c>
      <c r="H30" t="s">
        <v>12</v>
      </c>
      <c r="O30" s="11"/>
    </row>
    <row r="31" spans="2:15" x14ac:dyDescent="0.3">
      <c r="B31" s="7"/>
      <c r="C31" s="7"/>
      <c r="D31" s="7"/>
      <c r="E31" s="21" t="s">
        <v>47</v>
      </c>
      <c r="F31" s="21"/>
      <c r="G31" s="22">
        <f>G30*0.05</f>
        <v>145.71775761973876</v>
      </c>
      <c r="H31" t="s">
        <v>12</v>
      </c>
    </row>
    <row r="32" spans="2:15" x14ac:dyDescent="0.3">
      <c r="E32" s="20" t="s">
        <v>44</v>
      </c>
      <c r="F32" s="20"/>
      <c r="G32" s="22">
        <f>G30*0.2</f>
        <v>582.87103047895505</v>
      </c>
      <c r="H32" t="s">
        <v>12</v>
      </c>
    </row>
    <row r="33" spans="2:23" x14ac:dyDescent="0.3">
      <c r="E33" s="23" t="s">
        <v>45</v>
      </c>
      <c r="F33" s="23"/>
      <c r="G33" s="24">
        <f>G30+G31+G32</f>
        <v>3642.9439404934692</v>
      </c>
      <c r="H33" t="s">
        <v>12</v>
      </c>
    </row>
    <row r="37" spans="2:23" x14ac:dyDescent="0.3">
      <c r="B37" s="31" t="s">
        <v>67</v>
      </c>
      <c r="K37" t="s">
        <v>15</v>
      </c>
      <c r="L37" t="s">
        <v>16</v>
      </c>
      <c r="M37" t="s">
        <v>17</v>
      </c>
      <c r="N37" t="s">
        <v>18</v>
      </c>
      <c r="O37" t="s">
        <v>20</v>
      </c>
      <c r="P37" t="s">
        <v>19</v>
      </c>
      <c r="Q37" t="s">
        <v>21</v>
      </c>
      <c r="R37" t="s">
        <v>22</v>
      </c>
      <c r="S37" t="s">
        <v>72</v>
      </c>
      <c r="T37" t="s">
        <v>23</v>
      </c>
      <c r="U37" t="s">
        <v>25</v>
      </c>
      <c r="V37" t="s">
        <v>24</v>
      </c>
      <c r="W37" t="s">
        <v>26</v>
      </c>
    </row>
    <row r="38" spans="2:23" ht="28.8" x14ac:dyDescent="0.3">
      <c r="B38" s="3" t="s">
        <v>6</v>
      </c>
      <c r="C38" s="3" t="s">
        <v>0</v>
      </c>
      <c r="D38" s="3" t="s">
        <v>11</v>
      </c>
      <c r="E38" s="3" t="s">
        <v>9</v>
      </c>
      <c r="F38" s="3" t="s">
        <v>1</v>
      </c>
      <c r="G38" s="3" t="s">
        <v>2</v>
      </c>
      <c r="H38" s="3" t="s">
        <v>10</v>
      </c>
      <c r="K38">
        <v>2.25</v>
      </c>
      <c r="L38">
        <v>3.55</v>
      </c>
      <c r="M38">
        <v>2.59</v>
      </c>
      <c r="N38">
        <f>(K38+L38)*2</f>
        <v>11.6</v>
      </c>
      <c r="O38">
        <f>N38*M38</f>
        <v>30.043999999999997</v>
      </c>
      <c r="P38">
        <f>K38*L38</f>
        <v>7.9874999999999998</v>
      </c>
      <c r="Q38">
        <f>1.5*2.2*2</f>
        <v>6.6000000000000005</v>
      </c>
      <c r="R38">
        <f>1.5*2.2</f>
        <v>3.3000000000000003</v>
      </c>
      <c r="S38">
        <f>1.1*2.2*2</f>
        <v>4.8400000000000007</v>
      </c>
      <c r="T38">
        <f>1.1*2.2*2</f>
        <v>4.8400000000000007</v>
      </c>
      <c r="V38" s="29">
        <f>SUM(O38:U38)+O38</f>
        <v>87.655499999999989</v>
      </c>
      <c r="W38" s="29">
        <f>O38+P38+Q38+R38+S38</f>
        <v>52.771499999999996</v>
      </c>
    </row>
    <row r="39" spans="2:23" x14ac:dyDescent="0.3">
      <c r="B39" s="2" t="s">
        <v>68</v>
      </c>
      <c r="C39" s="4" t="s">
        <v>7</v>
      </c>
      <c r="D39" s="4">
        <v>13</v>
      </c>
      <c r="E39" s="5">
        <f>D39*44</f>
        <v>572</v>
      </c>
      <c r="F39" s="5">
        <f>4900/53</f>
        <v>92.452830188679243</v>
      </c>
      <c r="G39" s="5">
        <f>E39*F39</f>
        <v>52883.018867924526</v>
      </c>
      <c r="H39" s="5"/>
    </row>
    <row r="40" spans="2:23" x14ac:dyDescent="0.3">
      <c r="B40" s="2" t="s">
        <v>71</v>
      </c>
      <c r="C40" s="4" t="s">
        <v>27</v>
      </c>
      <c r="D40" s="4">
        <v>2</v>
      </c>
      <c r="E40" s="5">
        <f t="shared" ref="E40:E62" si="4">D40*44</f>
        <v>88</v>
      </c>
      <c r="F40" s="5">
        <v>370</v>
      </c>
      <c r="G40" s="5">
        <f>E40*F40</f>
        <v>32560</v>
      </c>
      <c r="H40" s="5"/>
    </row>
    <row r="41" spans="2:23" x14ac:dyDescent="0.3">
      <c r="B41" s="2" t="s">
        <v>3</v>
      </c>
      <c r="C41" s="4" t="s">
        <v>5</v>
      </c>
      <c r="D41" s="30">
        <f>V38</f>
        <v>87.655499999999989</v>
      </c>
      <c r="E41" s="5">
        <f t="shared" si="4"/>
        <v>3856.8419999999996</v>
      </c>
      <c r="F41" s="5">
        <v>8</v>
      </c>
      <c r="G41" s="5">
        <f t="shared" ref="G41:G62" si="5">E41*F41</f>
        <v>30854.735999999997</v>
      </c>
      <c r="H41" s="5"/>
    </row>
    <row r="42" spans="2:23" x14ac:dyDescent="0.3">
      <c r="B42" s="2" t="s">
        <v>4</v>
      </c>
      <c r="C42" s="4" t="s">
        <v>5</v>
      </c>
      <c r="D42" s="4">
        <v>6</v>
      </c>
      <c r="E42" s="5">
        <f t="shared" si="4"/>
        <v>264</v>
      </c>
      <c r="F42" s="5">
        <v>1.5</v>
      </c>
      <c r="G42" s="5">
        <f t="shared" si="5"/>
        <v>396</v>
      </c>
      <c r="H42" s="5"/>
    </row>
    <row r="43" spans="2:23" x14ac:dyDescent="0.3">
      <c r="B43" s="2" t="s">
        <v>28</v>
      </c>
      <c r="C43" s="4" t="s">
        <v>8</v>
      </c>
      <c r="D43" s="8">
        <f>(O38+P38+R38+Q38+S38)*1.2</f>
        <v>63.325799999999994</v>
      </c>
      <c r="E43" s="5">
        <f t="shared" si="4"/>
        <v>2786.3351999999995</v>
      </c>
      <c r="F43" s="5">
        <f>(685/6/52)</f>
        <v>2.1955128205128207</v>
      </c>
      <c r="G43" s="5">
        <f t="shared" si="5"/>
        <v>6117.4346538461532</v>
      </c>
      <c r="H43" s="5"/>
    </row>
    <row r="44" spans="2:23" x14ac:dyDescent="0.3">
      <c r="B44" s="2" t="s">
        <v>29</v>
      </c>
      <c r="C44" s="4" t="s">
        <v>5</v>
      </c>
      <c r="D44" s="8">
        <f>R38+S38+R38</f>
        <v>11.440000000000001</v>
      </c>
      <c r="E44" s="5">
        <f t="shared" si="4"/>
        <v>503.36000000000007</v>
      </c>
      <c r="F44" s="5">
        <v>20</v>
      </c>
      <c r="G44" s="5">
        <f t="shared" si="5"/>
        <v>10067.200000000001</v>
      </c>
      <c r="H44" s="5"/>
    </row>
    <row r="45" spans="2:23" x14ac:dyDescent="0.3">
      <c r="B45" s="2" t="s">
        <v>74</v>
      </c>
      <c r="C45" s="4" t="s">
        <v>27</v>
      </c>
      <c r="D45" s="8">
        <v>1</v>
      </c>
      <c r="E45" s="5">
        <f t="shared" si="4"/>
        <v>44</v>
      </c>
      <c r="F45" s="5">
        <v>25</v>
      </c>
      <c r="G45" s="5">
        <f t="shared" si="5"/>
        <v>1100</v>
      </c>
      <c r="H45" s="5"/>
    </row>
    <row r="46" spans="2:23" x14ac:dyDescent="0.3">
      <c r="B46" s="2" t="s">
        <v>76</v>
      </c>
      <c r="C46" s="4" t="s">
        <v>27</v>
      </c>
      <c r="D46" s="4">
        <v>2</v>
      </c>
      <c r="E46" s="5">
        <f t="shared" si="4"/>
        <v>88</v>
      </c>
      <c r="F46" s="5">
        <v>12</v>
      </c>
      <c r="G46" s="5">
        <f t="shared" si="5"/>
        <v>1056</v>
      </c>
      <c r="H46" s="5"/>
    </row>
    <row r="47" spans="2:23" x14ac:dyDescent="0.3">
      <c r="B47" s="2" t="s">
        <v>80</v>
      </c>
      <c r="C47" s="4" t="s">
        <v>27</v>
      </c>
      <c r="D47" s="4">
        <v>2</v>
      </c>
      <c r="E47" s="5">
        <f t="shared" si="4"/>
        <v>88</v>
      </c>
      <c r="F47" s="5">
        <v>9</v>
      </c>
      <c r="G47" s="5">
        <f t="shared" si="5"/>
        <v>792</v>
      </c>
      <c r="H47" s="5"/>
    </row>
    <row r="48" spans="2:23" x14ac:dyDescent="0.3">
      <c r="B48" s="2" t="s">
        <v>77</v>
      </c>
      <c r="C48" s="4" t="s">
        <v>27</v>
      </c>
      <c r="D48" s="4">
        <v>2</v>
      </c>
      <c r="E48" s="5">
        <f t="shared" si="4"/>
        <v>88</v>
      </c>
      <c r="F48" s="5">
        <v>90</v>
      </c>
      <c r="G48" s="5">
        <f t="shared" si="5"/>
        <v>7920</v>
      </c>
      <c r="H48" s="5"/>
    </row>
    <row r="49" spans="2:8" x14ac:dyDescent="0.3">
      <c r="B49" s="2" t="s">
        <v>75</v>
      </c>
      <c r="C49" s="4" t="s">
        <v>27</v>
      </c>
      <c r="D49" s="4">
        <v>2</v>
      </c>
      <c r="E49" s="5">
        <f t="shared" si="4"/>
        <v>88</v>
      </c>
      <c r="F49" s="5">
        <v>26</v>
      </c>
      <c r="G49" s="5">
        <f t="shared" si="5"/>
        <v>2288</v>
      </c>
      <c r="H49" s="5"/>
    </row>
    <row r="50" spans="2:8" x14ac:dyDescent="0.3">
      <c r="B50" s="2" t="s">
        <v>32</v>
      </c>
      <c r="C50" s="4" t="s">
        <v>8</v>
      </c>
      <c r="D50" s="4">
        <v>12</v>
      </c>
      <c r="E50" s="5">
        <f>D50*44</f>
        <v>528</v>
      </c>
      <c r="F50" s="5">
        <v>7</v>
      </c>
      <c r="G50" s="5">
        <f t="shared" si="5"/>
        <v>3696</v>
      </c>
      <c r="H50" s="5"/>
    </row>
    <row r="51" spans="2:8" x14ac:dyDescent="0.3">
      <c r="B51" s="2" t="s">
        <v>55</v>
      </c>
      <c r="C51" s="4" t="s">
        <v>27</v>
      </c>
      <c r="D51" s="4">
        <v>4</v>
      </c>
      <c r="E51" s="5">
        <f t="shared" si="4"/>
        <v>176</v>
      </c>
      <c r="F51" s="5">
        <v>30</v>
      </c>
      <c r="G51" s="5">
        <f t="shared" si="5"/>
        <v>5280</v>
      </c>
      <c r="H51" s="5"/>
    </row>
    <row r="52" spans="2:8" x14ac:dyDescent="0.3">
      <c r="B52" s="2" t="s">
        <v>52</v>
      </c>
      <c r="C52" s="4" t="s">
        <v>27</v>
      </c>
      <c r="D52" s="4">
        <v>2</v>
      </c>
      <c r="E52" s="5">
        <f t="shared" si="4"/>
        <v>88</v>
      </c>
      <c r="F52" s="5">
        <v>8.5</v>
      </c>
      <c r="G52" s="5">
        <f t="shared" si="5"/>
        <v>748</v>
      </c>
      <c r="H52" s="5"/>
    </row>
    <row r="53" spans="2:8" x14ac:dyDescent="0.3">
      <c r="B53" s="2" t="s">
        <v>33</v>
      </c>
      <c r="C53" s="4" t="s">
        <v>34</v>
      </c>
      <c r="D53" s="4">
        <v>1</v>
      </c>
      <c r="E53" s="5">
        <f t="shared" si="4"/>
        <v>44</v>
      </c>
      <c r="F53" s="5">
        <v>40</v>
      </c>
      <c r="G53" s="5">
        <f t="shared" si="5"/>
        <v>1760</v>
      </c>
      <c r="H53" s="5"/>
    </row>
    <row r="54" spans="2:8" x14ac:dyDescent="0.3">
      <c r="B54" s="2" t="s">
        <v>53</v>
      </c>
      <c r="C54" s="4" t="s">
        <v>34</v>
      </c>
      <c r="D54" s="4">
        <v>1</v>
      </c>
      <c r="E54" s="5">
        <f t="shared" si="4"/>
        <v>44</v>
      </c>
      <c r="F54" s="5">
        <v>15</v>
      </c>
      <c r="G54" s="5">
        <f t="shared" si="5"/>
        <v>660</v>
      </c>
      <c r="H54" s="5"/>
    </row>
    <row r="55" spans="2:8" x14ac:dyDescent="0.3">
      <c r="B55" s="2" t="s">
        <v>49</v>
      </c>
      <c r="C55" s="4" t="s">
        <v>8</v>
      </c>
      <c r="D55" s="4">
        <v>22</v>
      </c>
      <c r="E55" s="5">
        <f t="shared" si="4"/>
        <v>968</v>
      </c>
      <c r="F55" s="5">
        <v>3</v>
      </c>
      <c r="G55" s="5">
        <f t="shared" si="5"/>
        <v>2904</v>
      </c>
      <c r="H55" s="5"/>
    </row>
    <row r="56" spans="2:8" x14ac:dyDescent="0.3">
      <c r="B56" s="2" t="s">
        <v>51</v>
      </c>
      <c r="C56" s="4" t="s">
        <v>27</v>
      </c>
      <c r="D56" s="4">
        <v>2</v>
      </c>
      <c r="E56" s="5">
        <f t="shared" si="4"/>
        <v>88</v>
      </c>
      <c r="F56" s="5">
        <v>9.5</v>
      </c>
      <c r="G56" s="5">
        <f t="shared" si="5"/>
        <v>836</v>
      </c>
      <c r="H56" s="5"/>
    </row>
    <row r="57" spans="2:8" x14ac:dyDescent="0.3">
      <c r="B57" s="2" t="s">
        <v>30</v>
      </c>
      <c r="C57" s="4" t="s">
        <v>27</v>
      </c>
      <c r="D57" s="4">
        <v>2</v>
      </c>
      <c r="E57" s="5">
        <f>D57*22</f>
        <v>44</v>
      </c>
      <c r="F57" s="5">
        <f>2000/53</f>
        <v>37.735849056603776</v>
      </c>
      <c r="G57" s="5">
        <f t="shared" si="5"/>
        <v>1660.3773584905662</v>
      </c>
      <c r="H57" s="5"/>
    </row>
    <row r="58" spans="2:8" x14ac:dyDescent="0.3">
      <c r="B58" s="32" t="s">
        <v>78</v>
      </c>
      <c r="C58" s="33" t="s">
        <v>27</v>
      </c>
      <c r="D58" s="33">
        <v>2</v>
      </c>
      <c r="E58" s="34">
        <f>D58*22</f>
        <v>44</v>
      </c>
      <c r="F58" s="34"/>
      <c r="G58" s="34">
        <f t="shared" ref="G58" si="6">E58*F58</f>
        <v>0</v>
      </c>
      <c r="H58" s="34" t="s">
        <v>81</v>
      </c>
    </row>
    <row r="59" spans="2:8" x14ac:dyDescent="0.3">
      <c r="B59" s="2" t="s">
        <v>79</v>
      </c>
      <c r="C59" s="4" t="s">
        <v>8</v>
      </c>
      <c r="D59" s="4">
        <v>6</v>
      </c>
      <c r="E59" s="5">
        <f t="shared" si="4"/>
        <v>264</v>
      </c>
      <c r="F59" s="5">
        <v>3.5</v>
      </c>
      <c r="G59" s="5">
        <f t="shared" si="5"/>
        <v>924</v>
      </c>
      <c r="H59" s="5"/>
    </row>
    <row r="60" spans="2:8" x14ac:dyDescent="0.3">
      <c r="B60" s="2" t="s">
        <v>48</v>
      </c>
      <c r="C60" s="4" t="s">
        <v>34</v>
      </c>
      <c r="D60" s="4">
        <v>1</v>
      </c>
      <c r="E60" s="5">
        <f t="shared" si="4"/>
        <v>44</v>
      </c>
      <c r="F60" s="5">
        <v>9</v>
      </c>
      <c r="G60" s="5">
        <f t="shared" si="5"/>
        <v>396</v>
      </c>
      <c r="H60" s="5"/>
    </row>
    <row r="61" spans="2:8" x14ac:dyDescent="0.3">
      <c r="B61" s="2" t="s">
        <v>35</v>
      </c>
      <c r="C61" s="4" t="s">
        <v>34</v>
      </c>
      <c r="D61" s="4">
        <v>1</v>
      </c>
      <c r="E61" s="5">
        <f t="shared" si="4"/>
        <v>44</v>
      </c>
      <c r="F61" s="2">
        <v>90</v>
      </c>
      <c r="G61" s="5">
        <f t="shared" si="5"/>
        <v>3960</v>
      </c>
      <c r="H61" s="2"/>
    </row>
    <row r="62" spans="2:8" x14ac:dyDescent="0.3">
      <c r="B62" s="2" t="s">
        <v>41</v>
      </c>
      <c r="C62" s="4" t="s">
        <v>34</v>
      </c>
      <c r="D62" s="4">
        <v>1</v>
      </c>
      <c r="E62" s="5">
        <f t="shared" si="4"/>
        <v>44</v>
      </c>
      <c r="F62" s="2">
        <v>40</v>
      </c>
      <c r="G62" s="5">
        <f t="shared" si="5"/>
        <v>1760</v>
      </c>
      <c r="H62" s="2"/>
    </row>
    <row r="63" spans="2:8" x14ac:dyDescent="0.3">
      <c r="F63" s="9" t="s">
        <v>14</v>
      </c>
      <c r="G63" s="10">
        <f>SUM(G39:G62)</f>
        <v>170618.76688026125</v>
      </c>
      <c r="H63" t="s">
        <v>12</v>
      </c>
    </row>
    <row r="64" spans="2:8" x14ac:dyDescent="0.3">
      <c r="F64" s="9" t="s">
        <v>13</v>
      </c>
      <c r="G64" s="10">
        <f>G63/44</f>
        <v>3877.6992472786646</v>
      </c>
      <c r="H64" t="s">
        <v>12</v>
      </c>
    </row>
    <row r="65" spans="2:8" x14ac:dyDescent="0.3">
      <c r="E65" s="20" t="s">
        <v>42</v>
      </c>
      <c r="F65" s="20"/>
      <c r="G65" s="22">
        <v>1180</v>
      </c>
      <c r="H65" t="s">
        <v>12</v>
      </c>
    </row>
    <row r="66" spans="2:8" x14ac:dyDescent="0.3">
      <c r="E66" s="23" t="s">
        <v>43</v>
      </c>
      <c r="F66" s="23"/>
      <c r="G66" s="24">
        <f>SUM(G64:G65)</f>
        <v>5057.6992472786642</v>
      </c>
      <c r="H66" t="s">
        <v>12</v>
      </c>
    </row>
    <row r="67" spans="2:8" x14ac:dyDescent="0.3">
      <c r="B67" s="7"/>
      <c r="C67" s="7"/>
      <c r="D67" s="7"/>
      <c r="E67" s="21" t="s">
        <v>47</v>
      </c>
      <c r="F67" s="21"/>
      <c r="G67" s="22">
        <f>G66*0.05</f>
        <v>252.88496236393323</v>
      </c>
      <c r="H67" t="s">
        <v>12</v>
      </c>
    </row>
    <row r="68" spans="2:8" x14ac:dyDescent="0.3">
      <c r="E68" s="20" t="s">
        <v>44</v>
      </c>
      <c r="F68" s="20"/>
      <c r="G68" s="22">
        <f>G66*0.2</f>
        <v>1011.5398494557329</v>
      </c>
      <c r="H68" t="s">
        <v>12</v>
      </c>
    </row>
    <row r="69" spans="2:8" x14ac:dyDescent="0.3">
      <c r="E69" s="23" t="s">
        <v>45</v>
      </c>
      <c r="F69" s="23"/>
      <c r="G69" s="24">
        <f>G66+G67+G68</f>
        <v>6322.1240590983307</v>
      </c>
      <c r="H69" t="s">
        <v>12</v>
      </c>
    </row>
  </sheetData>
  <mergeCells count="10">
    <mergeCell ref="E66:F66"/>
    <mergeCell ref="E67:F67"/>
    <mergeCell ref="E68:F68"/>
    <mergeCell ref="E69:F69"/>
    <mergeCell ref="E29:F29"/>
    <mergeCell ref="E31:F31"/>
    <mergeCell ref="E32:F32"/>
    <mergeCell ref="E33:F33"/>
    <mergeCell ref="E30:F30"/>
    <mergeCell ref="E65:F6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68B1F-275B-4B2A-B326-A4ABFC61DF22}">
  <dimension ref="A1:E5"/>
  <sheetViews>
    <sheetView zoomScale="130" zoomScaleNormal="130" workbookViewId="0">
      <selection activeCell="B7" sqref="B7"/>
    </sheetView>
  </sheetViews>
  <sheetFormatPr defaultColWidth="11.5546875" defaultRowHeight="14.4" x14ac:dyDescent="0.3"/>
  <cols>
    <col min="1" max="1" width="11.5546875" style="12"/>
    <col min="2" max="2" width="106.44140625" style="14" customWidth="1"/>
    <col min="3" max="16384" width="11.5546875" style="14"/>
  </cols>
  <sheetData>
    <row r="1" spans="1:5" ht="31.2" x14ac:dyDescent="0.6">
      <c r="B1" s="13"/>
    </row>
    <row r="3" spans="1:5" x14ac:dyDescent="0.3">
      <c r="B3" s="15"/>
      <c r="C3" s="14" t="s">
        <v>36</v>
      </c>
      <c r="D3" s="16" t="s">
        <v>37</v>
      </c>
      <c r="E3" s="14" t="s">
        <v>38</v>
      </c>
    </row>
    <row r="4" spans="1:5" x14ac:dyDescent="0.3">
      <c r="A4" s="12">
        <v>1</v>
      </c>
      <c r="B4" s="17" t="s">
        <v>39</v>
      </c>
      <c r="C4" s="14">
        <v>22</v>
      </c>
      <c r="D4" s="18">
        <f>ANALİZ!G33</f>
        <v>3642.9439404934692</v>
      </c>
      <c r="E4" s="19">
        <f>D4*C4</f>
        <v>80144.766690856326</v>
      </c>
    </row>
    <row r="5" spans="1:5" ht="145.19999999999999" customHeight="1" x14ac:dyDescent="0.3">
      <c r="B5" s="15" t="s">
        <v>40</v>
      </c>
      <c r="D5" s="18"/>
      <c r="E5"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F567E-DE5F-4E46-A2B5-D2A2F82B8329}">
  <dimension ref="A1:E17"/>
  <sheetViews>
    <sheetView zoomScale="115" zoomScaleNormal="115" workbookViewId="0">
      <selection activeCell="D3" sqref="D3"/>
    </sheetView>
  </sheetViews>
  <sheetFormatPr defaultColWidth="11.5546875" defaultRowHeight="14.4" x14ac:dyDescent="0.3"/>
  <cols>
    <col min="1" max="1" width="11.5546875" style="12"/>
    <col min="2" max="2" width="101.6640625" style="15" customWidth="1"/>
    <col min="3" max="3" width="11.5546875" style="14"/>
    <col min="4" max="4" width="11.5546875" style="18"/>
    <col min="5" max="5" width="11.5546875" style="19"/>
    <col min="6" max="16384" width="11.5546875" style="14"/>
  </cols>
  <sheetData>
    <row r="1" spans="1:5" s="13" customFormat="1" ht="31.2" x14ac:dyDescent="0.6">
      <c r="A1" s="25"/>
    </row>
    <row r="2" spans="1:5" x14ac:dyDescent="0.3">
      <c r="C2" s="14" t="s">
        <v>36</v>
      </c>
      <c r="D2" s="16" t="s">
        <v>37</v>
      </c>
      <c r="E2" s="14" t="s">
        <v>38</v>
      </c>
    </row>
    <row r="3" spans="1:5" x14ac:dyDescent="0.3">
      <c r="A3" s="12">
        <v>1</v>
      </c>
      <c r="B3" s="17" t="s">
        <v>56</v>
      </c>
      <c r="C3" s="14">
        <v>44</v>
      </c>
      <c r="D3" s="18">
        <f>ANALİZ!G69</f>
        <v>6322.1240590983307</v>
      </c>
      <c r="E3" s="19">
        <f>D3*C3</f>
        <v>278173.45860032656</v>
      </c>
    </row>
    <row r="4" spans="1:5" ht="129.6" customHeight="1" x14ac:dyDescent="0.3">
      <c r="B4" s="15" t="s">
        <v>57</v>
      </c>
    </row>
    <row r="6" spans="1:5" x14ac:dyDescent="0.3">
      <c r="A6" s="12">
        <v>2</v>
      </c>
      <c r="B6" s="17" t="s">
        <v>58</v>
      </c>
    </row>
    <row r="7" spans="1:5" x14ac:dyDescent="0.3">
      <c r="B7" s="15" t="s">
        <v>59</v>
      </c>
      <c r="C7" s="14">
        <v>44</v>
      </c>
      <c r="D7" s="18">
        <v>56</v>
      </c>
      <c r="E7" s="19">
        <f>D7*C7</f>
        <v>2464</v>
      </c>
    </row>
    <row r="8" spans="1:5" x14ac:dyDescent="0.3">
      <c r="A8" s="12">
        <v>3</v>
      </c>
      <c r="B8" s="17" t="s">
        <v>60</v>
      </c>
    </row>
    <row r="9" spans="1:5" x14ac:dyDescent="0.3">
      <c r="B9" s="15" t="s">
        <v>61</v>
      </c>
      <c r="C9" s="14">
        <v>44</v>
      </c>
      <c r="D9" s="18">
        <v>89</v>
      </c>
      <c r="E9" s="19">
        <f>D9*C9</f>
        <v>3916</v>
      </c>
    </row>
    <row r="10" spans="1:5" x14ac:dyDescent="0.3">
      <c r="B10" s="17"/>
    </row>
    <row r="12" spans="1:5" x14ac:dyDescent="0.3">
      <c r="A12" s="26"/>
      <c r="B12" s="27" t="s">
        <v>62</v>
      </c>
    </row>
    <row r="14" spans="1:5" x14ac:dyDescent="0.3">
      <c r="A14" s="12">
        <v>1</v>
      </c>
      <c r="B14" s="17" t="s">
        <v>63</v>
      </c>
      <c r="C14" s="14">
        <v>44</v>
      </c>
      <c r="E14" s="19">
        <f>D14*C14</f>
        <v>0</v>
      </c>
    </row>
    <row r="15" spans="1:5" ht="227.4" customHeight="1" x14ac:dyDescent="0.3">
      <c r="B15" s="15" t="s">
        <v>64</v>
      </c>
    </row>
    <row r="16" spans="1:5" ht="227.4" customHeight="1" x14ac:dyDescent="0.3"/>
    <row r="17" spans="4:5" x14ac:dyDescent="0.3">
      <c r="D17" s="16" t="s">
        <v>65</v>
      </c>
      <c r="E17" s="28">
        <f>SUM(E2:E16)</f>
        <v>284553.45860032656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ANALİZ</vt:lpstr>
      <vt:lpstr>SIDEPODS</vt:lpstr>
      <vt:lpstr>PODS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EMRE KUL</dc:creator>
  <cp:lastModifiedBy>EMRE KUL</cp:lastModifiedBy>
  <dcterms:created xsi:type="dcterms:W3CDTF">2025-10-19T17:53:09Z</dcterms:created>
  <dcterms:modified xsi:type="dcterms:W3CDTF">2026-05-14T18:28:51Z</dcterms:modified>
</cp:coreProperties>
</file>