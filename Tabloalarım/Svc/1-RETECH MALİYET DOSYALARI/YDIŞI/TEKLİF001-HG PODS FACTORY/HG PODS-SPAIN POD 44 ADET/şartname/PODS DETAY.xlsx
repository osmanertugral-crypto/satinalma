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eliz.cosar\Desktop\YELİZ\TEKLİF\YDIŞI\TEKLİF009-HG PODS FACTORY\HG PODS-SPAIN POD 44 ADET\"/>
    </mc:Choice>
  </mc:AlternateContent>
  <xr:revisionPtr revIDLastSave="0" documentId="13_ncr:1_{0E8625EB-4132-4AFE-BCF0-7017E24E50B2}" xr6:coauthVersionLast="47" xr6:coauthVersionMax="47" xr10:uidLastSave="{00000000-0000-0000-0000-000000000000}"/>
  <bookViews>
    <workbookView xWindow="-108" yWindow="-108" windowWidth="23256" windowHeight="12456" firstSheet="1" activeTab="1" xr2:uid="{9ED7A808-DC82-4835-833E-9BDCC4AE1B3A}"/>
  </bookViews>
  <sheets>
    <sheet name="DIPOSICION " sheetId="1" state="hidden" r:id="rId1"/>
    <sheet name="PODS" sheetId="2" r:id="rId2"/>
    <sheet name="SIDEPODS"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3" l="1"/>
  <c r="D37" i="1"/>
  <c r="E3" i="2"/>
  <c r="E14" i="2"/>
  <c r="E9" i="2"/>
  <c r="E7" i="2"/>
  <c r="D18" i="1"/>
  <c r="E17" i="2" l="1"/>
</calcChain>
</file>

<file path=xl/sharedStrings.xml><?xml version="1.0" encoding="utf-8"?>
<sst xmlns="http://schemas.openxmlformats.org/spreadsheetml/2006/main" count="56" uniqueCount="29">
  <si>
    <t>HABITACION</t>
  </si>
  <si>
    <t>BAJA</t>
  </si>
  <si>
    <t>P2</t>
  </si>
  <si>
    <t>P1</t>
  </si>
  <si>
    <t>PODS CAMA DOBLE -VARIANTE GP-RES</t>
  </si>
  <si>
    <t>nº hab</t>
  </si>
  <si>
    <t xml:space="preserve">TOTAL </t>
  </si>
  <si>
    <t>TOTAL</t>
  </si>
  <si>
    <t>ALTERNATIVA</t>
  </si>
  <si>
    <t>POZOS DULCES 21</t>
  </si>
  <si>
    <t>NUMERO SIDEPOS</t>
  </si>
  <si>
    <t>Bº CAMAS</t>
  </si>
  <si>
    <t>POZOS DULCES 25</t>
  </si>
  <si>
    <t>Estructura de PODS doble, con cama de matrimonio de dimensiones 3,60x2,30, formado por dos habitaculos con acceso a cama superior e inferior  según planos y diseño ,Construida con  formado  GP-RES-LDR y poliestireno 20kg(m2  con lamina acustica absorvente de impactos DANOSA MAD 4 con terminación segun planos, la estructura estara reforzada en su interior por tmdf hidrofugo todo a convenir y lamina acustica , La parte interior del habitaculo de la cama estará tapizado por ELASTRON , se formarán cuarterones según diseño, el habitáculo interior se entregará con enchufes en la zona de armario, tira de led interior oculta calida 2700ºK se entregará preparado para ser conectado a la red, rejillas de ventilacion y apoyo bandas acusticas a suelo mediante FONODAN 50 ,  incluso modo de cerramiento formado paredes ,con un panel sandwich por su caras exteriores mdf  según diseño y alma interior de XPS, incluye puertas de entrada  abatibles enradas con el mismo acabado, sin marcos, mecanicado interior para cerradura electronica aportada por la Propiedad , incluso sellado perimetral para estanqueidad,  transporte , acopio , traslado interior de obra y conexionado</t>
  </si>
  <si>
    <t>Plan ve tasarımlara göre; 1,00x2,30 ölçülerinde yatağa sahip, üst ve alt yatağa yan erişimi olan iki bölmeden oluşan bireysel SIDEPOD yapısı. Planlara uygun finişe sahip neme dayanıklı (hidrofobik) MDF’den inşa edilecek olup, yapının iç kısmı neme dayanıklı MDF ve akustik levha ile takviye edilecektir (şartlar karşılıklı belirlenecektir). Yatak bölmesinin iç kısmı ELASTRON ile kaplanacak ve tasarıma göre paneller/kısımlar oluşturulacaktır. İç bölme; prizler, anahtarlar, 2700ºK sıcak ton gizli iç LED şerit ile teslim edilecek ve şebekeye bağlanmaya hazır olacaktır. Havalandırma ızgaraları ve FONODAN 50 ile zemine akustik bant desteği dahildir. Dış yüzeyleri tasarıma uygun MDF ve iç dolgusu XPS olan sandviç panel duvarlardan oluşan kapama modu, merdivenler ve sürgülü kapama kapısı dahildir. Nakliye, stoklama, şantiye içi taşıma ve bağlantı işleri fiyata dahildir.</t>
  </si>
  <si>
    <t>Fiyat</t>
  </si>
  <si>
    <t>ADET</t>
  </si>
  <si>
    <t>TUTAR</t>
  </si>
  <si>
    <t xml:space="preserve">SIDEPODS </t>
  </si>
  <si>
    <t xml:space="preserve">DOUBLE </t>
  </si>
  <si>
    <t>Plan ve tasarıma göre; 3,60x2,30 ölçülerinde çift kişilik yatağa sahip, üst ve alt yatağa erişimi olan iki bölmeden oluşan çiftli POD yapısı. Planlara uygun finişe sahip neme dayanıklı MDF’den inşa edilecek olup, yapının iç kısmı neme dayanıklı MDF ve akustik levha ile takviye edilecektir (şartlar karşılıklı belirlenecektir). Yatak bölmesinin iç kısmı ELASTRON ile kaplanacak ve tasarıma göre paneller oluşturulacaktır. İç bölme; dolap bölgesinde prizler, 2700ºK sıcak ton gizli iç LED şerit ile teslim edilecek ve şebekeye bağlanmaya hazır olacaktır. Havalandırma ızgaraları ve FONODAN 50 ile zemine akustik bant desteği dahildir. Dış yüzeyleri tasarıma uygun MDF ve iç dolgusu XPS olan sandviç panel duvarlardan oluşan kapatma modu, aynı finişe sahip çerçevesiz açılır giriş kapıları, mülkiyet tarafından tedarik edilecek elektronik kilit için iç mekanik hazırlık, sızdırmazlık için çevre dolgusu, nakliye, stoklama, şantiye içi taşıma ve bağlantı işleri dahildir.</t>
  </si>
  <si>
    <t>Otomatik kapı altı fırçası (giyotin), KG-S, 80 cm Planet</t>
  </si>
  <si>
    <t>AKUSTİK KAPI BİNDİSİ (AKUSTİK FİTİLLİ KAPI ÇITASI)</t>
  </si>
  <si>
    <t>GİZLİ İÇTEN YAVAŞLATICI (AMORTİSÖRLÜ) MENTEŞELİ KAPI KAPATMA SİSTEMİ</t>
  </si>
  <si>
    <t>Inther marka Beta 3045 model veya muadili, üç noktadan kilitlemeli sistemden oluşur.</t>
  </si>
  <si>
    <t>KATLAR</t>
  </si>
  <si>
    <t>ODA</t>
  </si>
  <si>
    <t>Oda No</t>
  </si>
  <si>
    <t>POD SAYISI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</si>
</sst>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3" x14ac:knownFonts="1">
    <font>
      <sz val="11"/>
      <color theme="1"/>
      <name val="Aptos Narrow"/>
      <family val="2"/>
      <scheme val="minor"/>
    </font>
    <font>
      <b/>
      <sz val="11"/>
      <color theme="1"/>
      <name val="Aptos Narrow"/>
      <family val="2"/>
      <scheme val="minor"/>
    </font>
    <font>
      <b/>
      <i/>
      <sz val="24"/>
      <color theme="1"/>
      <name val="Aptos Narrow"/>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1" tint="0.49998474074526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4" fontId="0" fillId="0" borderId="0" xfId="0" applyNumberFormat="1"/>
    <xf numFmtId="4" fontId="1" fillId="0" borderId="0" xfId="0" applyNumberFormat="1" applyFont="1"/>
    <xf numFmtId="164" fontId="1" fillId="0" borderId="0" xfId="0" applyNumberFormat="1" applyFont="1"/>
    <xf numFmtId="164" fontId="0" fillId="0" borderId="0" xfId="0" applyNumberFormat="1"/>
    <xf numFmtId="0" fontId="0" fillId="2" borderId="0" xfId="0" applyFill="1"/>
    <xf numFmtId="0" fontId="1" fillId="2" borderId="0" xfId="0" applyFont="1" applyFill="1"/>
    <xf numFmtId="0" fontId="0" fillId="0" borderId="0" xfId="0" applyAlignment="1">
      <alignment horizontal="center"/>
    </xf>
    <xf numFmtId="0" fontId="1" fillId="3" borderId="0" xfId="0" applyFont="1" applyFill="1"/>
    <xf numFmtId="0" fontId="1" fillId="2" borderId="0" xfId="0" applyFont="1" applyFill="1" applyAlignment="1">
      <alignment wrapText="1"/>
    </xf>
    <xf numFmtId="0" fontId="0" fillId="4" borderId="1" xfId="0" applyFill="1" applyBorder="1"/>
    <xf numFmtId="0" fontId="0" fillId="4" borderId="1" xfId="0" applyFill="1" applyBorder="1" applyAlignment="1">
      <alignment horizontal="center"/>
    </xf>
    <xf numFmtId="0" fontId="0" fillId="5" borderId="1" xfId="0" applyFill="1" applyBorder="1"/>
    <xf numFmtId="0" fontId="0" fillId="5" borderId="1" xfId="0" applyFill="1" applyBorder="1" applyAlignment="1">
      <alignment horizontal="center"/>
    </xf>
    <xf numFmtId="0" fontId="0" fillId="6" borderId="1" xfId="0" applyFill="1" applyBorder="1"/>
    <xf numFmtId="0" fontId="0" fillId="6" borderId="1" xfId="0" applyFill="1" applyBorder="1" applyAlignment="1">
      <alignment horizontal="center"/>
    </xf>
    <xf numFmtId="0" fontId="2" fillId="0" borderId="0" xfId="0" applyFont="1"/>
    <xf numFmtId="0" fontId="2" fillId="0" borderId="0" xfId="0" applyFont="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6443-C8D1-4A0B-9E40-2B52C6CB84A0}">
  <dimension ref="A2:E37"/>
  <sheetViews>
    <sheetView workbookViewId="0">
      <selection activeCell="A2" activeCellId="1" sqref="A22:XFD22 A2:XFD2"/>
    </sheetView>
  </sheetViews>
  <sheetFormatPr defaultColWidth="11.5546875" defaultRowHeight="14.4" x14ac:dyDescent="0.3"/>
  <cols>
    <col min="4" max="4" width="15" customWidth="1"/>
  </cols>
  <sheetData>
    <row r="2" spans="1:4" x14ac:dyDescent="0.3">
      <c r="A2" s="8"/>
      <c r="B2" s="9" t="s">
        <v>9</v>
      </c>
      <c r="C2" s="8"/>
      <c r="D2" s="8"/>
    </row>
    <row r="3" spans="1:4" x14ac:dyDescent="0.3">
      <c r="A3" t="s">
        <v>25</v>
      </c>
      <c r="B3" t="s">
        <v>26</v>
      </c>
      <c r="C3" s="3" t="s">
        <v>27</v>
      </c>
      <c r="D3" t="s">
        <v>28</v>
      </c>
    </row>
    <row r="5" spans="1:4" x14ac:dyDescent="0.3">
      <c r="A5" s="13" t="s">
        <v>1</v>
      </c>
      <c r="B5" s="14">
        <v>1</v>
      </c>
      <c r="C5" s="14">
        <v>301</v>
      </c>
      <c r="D5" s="14">
        <v>4</v>
      </c>
    </row>
    <row r="6" spans="1:4" x14ac:dyDescent="0.3">
      <c r="A6" s="13" t="s">
        <v>1</v>
      </c>
      <c r="B6" s="14">
        <v>2</v>
      </c>
      <c r="C6" s="14">
        <v>302</v>
      </c>
      <c r="D6" s="14">
        <v>2</v>
      </c>
    </row>
    <row r="7" spans="1:4" x14ac:dyDescent="0.3">
      <c r="A7" s="15" t="s">
        <v>3</v>
      </c>
      <c r="B7" s="16">
        <v>1</v>
      </c>
      <c r="C7" s="16">
        <v>303</v>
      </c>
      <c r="D7" s="16">
        <v>4</v>
      </c>
    </row>
    <row r="8" spans="1:4" x14ac:dyDescent="0.3">
      <c r="A8" s="15" t="s">
        <v>3</v>
      </c>
      <c r="B8" s="16">
        <v>2</v>
      </c>
      <c r="C8" s="16">
        <v>304</v>
      </c>
      <c r="D8" s="16">
        <v>2</v>
      </c>
    </row>
    <row r="9" spans="1:4" x14ac:dyDescent="0.3">
      <c r="A9" s="15" t="s">
        <v>3</v>
      </c>
      <c r="B9" s="16">
        <v>3</v>
      </c>
      <c r="C9" s="16">
        <v>305</v>
      </c>
      <c r="D9" s="16">
        <v>5</v>
      </c>
    </row>
    <row r="10" spans="1:4" x14ac:dyDescent="0.3">
      <c r="A10" s="15" t="s">
        <v>3</v>
      </c>
      <c r="B10" s="16">
        <v>4</v>
      </c>
      <c r="C10" s="16">
        <v>306</v>
      </c>
      <c r="D10" s="16">
        <v>4</v>
      </c>
    </row>
    <row r="11" spans="1:4" x14ac:dyDescent="0.3">
      <c r="A11" s="15" t="s">
        <v>3</v>
      </c>
      <c r="B11" s="16">
        <v>5</v>
      </c>
      <c r="C11" s="16">
        <v>307</v>
      </c>
      <c r="D11" s="16">
        <v>4</v>
      </c>
    </row>
    <row r="12" spans="1:4" x14ac:dyDescent="0.3">
      <c r="A12" s="15" t="s">
        <v>3</v>
      </c>
      <c r="B12" s="16">
        <v>6</v>
      </c>
      <c r="C12" s="16">
        <v>308</v>
      </c>
      <c r="D12" s="16">
        <v>3</v>
      </c>
    </row>
    <row r="13" spans="1:4" x14ac:dyDescent="0.3">
      <c r="A13" s="17" t="s">
        <v>2</v>
      </c>
      <c r="B13" s="18">
        <v>1</v>
      </c>
      <c r="C13" s="18">
        <v>309</v>
      </c>
      <c r="D13" s="18">
        <v>4</v>
      </c>
    </row>
    <row r="14" spans="1:4" x14ac:dyDescent="0.3">
      <c r="A14" s="17" t="s">
        <v>2</v>
      </c>
      <c r="B14" s="18">
        <v>2</v>
      </c>
      <c r="C14" s="18">
        <v>310</v>
      </c>
      <c r="D14" s="18">
        <v>2</v>
      </c>
    </row>
    <row r="15" spans="1:4" x14ac:dyDescent="0.3">
      <c r="A15" s="17" t="s">
        <v>2</v>
      </c>
      <c r="B15" s="18">
        <v>4</v>
      </c>
      <c r="C15" s="18">
        <v>311</v>
      </c>
      <c r="D15" s="18">
        <v>3</v>
      </c>
    </row>
    <row r="16" spans="1:4" x14ac:dyDescent="0.3">
      <c r="A16" s="17" t="s">
        <v>2</v>
      </c>
      <c r="B16" s="18">
        <v>5</v>
      </c>
      <c r="C16" s="18">
        <v>312</v>
      </c>
      <c r="D16" s="18">
        <v>4</v>
      </c>
    </row>
    <row r="17" spans="1:5" x14ac:dyDescent="0.3">
      <c r="A17" s="17" t="s">
        <v>2</v>
      </c>
      <c r="B17" s="18">
        <v>6</v>
      </c>
      <c r="C17" s="18">
        <v>313</v>
      </c>
      <c r="D17" s="18">
        <v>3</v>
      </c>
    </row>
    <row r="18" spans="1:5" x14ac:dyDescent="0.3">
      <c r="C18" s="11" t="s">
        <v>6</v>
      </c>
      <c r="D18" s="11">
        <f>SUM(D5:D17)</f>
        <v>44</v>
      </c>
    </row>
    <row r="22" spans="1:5" x14ac:dyDescent="0.3">
      <c r="A22" s="8"/>
      <c r="B22" s="9" t="s">
        <v>12</v>
      </c>
      <c r="C22" s="8"/>
      <c r="D22" s="8"/>
    </row>
    <row r="23" spans="1:5" x14ac:dyDescent="0.3">
      <c r="A23" t="s">
        <v>25</v>
      </c>
      <c r="B23" s="3" t="s">
        <v>0</v>
      </c>
      <c r="C23" s="3" t="s">
        <v>5</v>
      </c>
      <c r="D23" s="3" t="s">
        <v>10</v>
      </c>
      <c r="E23" s="3" t="s">
        <v>11</v>
      </c>
    </row>
    <row r="25" spans="1:5" x14ac:dyDescent="0.3">
      <c r="A25" s="13" t="s">
        <v>1</v>
      </c>
      <c r="B25" s="14">
        <v>1</v>
      </c>
      <c r="C25" s="14"/>
      <c r="D25" s="14">
        <v>4</v>
      </c>
      <c r="E25" s="14">
        <v>8</v>
      </c>
    </row>
    <row r="26" spans="1:5" x14ac:dyDescent="0.3">
      <c r="A26" s="13" t="s">
        <v>1</v>
      </c>
      <c r="B26" s="14">
        <v>2</v>
      </c>
      <c r="C26" s="14"/>
      <c r="D26" s="14">
        <v>2</v>
      </c>
      <c r="E26" s="14">
        <v>4</v>
      </c>
    </row>
    <row r="27" spans="1:5" x14ac:dyDescent="0.3">
      <c r="A27" s="13" t="s">
        <v>1</v>
      </c>
      <c r="B27" s="14">
        <v>3</v>
      </c>
      <c r="C27" s="14"/>
      <c r="D27" s="14">
        <v>2</v>
      </c>
      <c r="E27" s="14">
        <v>4</v>
      </c>
    </row>
    <row r="28" spans="1:5" x14ac:dyDescent="0.3">
      <c r="A28" s="13" t="s">
        <v>1</v>
      </c>
      <c r="B28" s="14">
        <v>4</v>
      </c>
      <c r="C28" s="14"/>
      <c r="D28" s="14">
        <v>2</v>
      </c>
      <c r="E28" s="14">
        <v>4</v>
      </c>
    </row>
    <row r="29" spans="1:5" x14ac:dyDescent="0.3">
      <c r="A29" s="13" t="s">
        <v>1</v>
      </c>
      <c r="B29" s="14">
        <v>5</v>
      </c>
      <c r="C29" s="14"/>
      <c r="D29" s="14">
        <v>2</v>
      </c>
      <c r="E29" s="14">
        <v>4</v>
      </c>
    </row>
    <row r="30" spans="1:5" x14ac:dyDescent="0.3">
      <c r="A30" s="13" t="s">
        <v>1</v>
      </c>
      <c r="B30" s="14">
        <v>6</v>
      </c>
      <c r="C30" s="14"/>
      <c r="D30" s="14">
        <v>3</v>
      </c>
      <c r="E30" s="14">
        <v>6</v>
      </c>
    </row>
    <row r="31" spans="1:5" x14ac:dyDescent="0.3">
      <c r="A31" s="15" t="s">
        <v>3</v>
      </c>
      <c r="B31" s="16">
        <v>1</v>
      </c>
      <c r="C31" s="16"/>
      <c r="D31" s="16">
        <v>2</v>
      </c>
      <c r="E31" s="16">
        <v>4</v>
      </c>
    </row>
    <row r="32" spans="1:5" x14ac:dyDescent="0.3">
      <c r="A32" s="15" t="s">
        <v>3</v>
      </c>
      <c r="B32" s="16">
        <v>2</v>
      </c>
      <c r="C32" s="16"/>
      <c r="D32" s="16">
        <v>3</v>
      </c>
      <c r="E32" s="16">
        <v>6</v>
      </c>
    </row>
    <row r="33" spans="1:5" x14ac:dyDescent="0.3">
      <c r="A33" s="15" t="s">
        <v>3</v>
      </c>
      <c r="B33" s="16">
        <v>3</v>
      </c>
      <c r="C33" s="16"/>
      <c r="D33" s="16">
        <v>3</v>
      </c>
      <c r="E33" s="16">
        <v>6</v>
      </c>
    </row>
    <row r="34" spans="1:5" x14ac:dyDescent="0.3">
      <c r="A34" s="15" t="s">
        <v>3</v>
      </c>
      <c r="B34" s="16">
        <v>4</v>
      </c>
      <c r="C34" s="16"/>
      <c r="D34" s="16">
        <v>2</v>
      </c>
      <c r="E34" s="16">
        <v>4</v>
      </c>
    </row>
    <row r="35" spans="1:5" x14ac:dyDescent="0.3">
      <c r="A35" s="15" t="s">
        <v>3</v>
      </c>
      <c r="B35" s="16">
        <v>5</v>
      </c>
      <c r="C35" s="16"/>
      <c r="D35" s="16">
        <v>4</v>
      </c>
      <c r="E35" s="16">
        <v>8</v>
      </c>
    </row>
    <row r="36" spans="1:5" x14ac:dyDescent="0.3">
      <c r="A36" s="15" t="s">
        <v>3</v>
      </c>
      <c r="B36" s="16">
        <v>6</v>
      </c>
      <c r="C36" s="16"/>
      <c r="D36" s="16">
        <v>3</v>
      </c>
      <c r="E36" s="16">
        <v>6</v>
      </c>
    </row>
    <row r="37" spans="1:5" x14ac:dyDescent="0.3">
      <c r="C37" s="11" t="s">
        <v>6</v>
      </c>
      <c r="D37" s="11">
        <f>SUM(D25:D36)</f>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42B3-8F09-42E0-99AA-C05E14248459}">
  <dimension ref="A1:E17"/>
  <sheetViews>
    <sheetView tabSelected="1" zoomScale="146" zoomScaleNormal="146" workbookViewId="0">
      <selection activeCell="B8" sqref="B8"/>
    </sheetView>
  </sheetViews>
  <sheetFormatPr defaultColWidth="11.5546875" defaultRowHeight="14.4" x14ac:dyDescent="0.3"/>
  <cols>
    <col min="1" max="1" width="11.44140625" style="10"/>
    <col min="2" max="2" width="101.6640625" style="1" customWidth="1"/>
    <col min="4" max="4" width="11.44140625" style="4"/>
    <col min="5" max="5" width="11.44140625" style="7"/>
  </cols>
  <sheetData>
    <row r="1" spans="1:5" s="19" customFormat="1" ht="31.2" x14ac:dyDescent="0.6">
      <c r="A1" s="20"/>
    </row>
    <row r="2" spans="1:5" x14ac:dyDescent="0.3">
      <c r="C2" t="s">
        <v>16</v>
      </c>
      <c r="D2" s="5" t="s">
        <v>15</v>
      </c>
      <c r="E2" t="s">
        <v>17</v>
      </c>
    </row>
    <row r="3" spans="1:5" x14ac:dyDescent="0.3">
      <c r="A3" s="10">
        <v>1</v>
      </c>
      <c r="B3" s="2" t="s">
        <v>19</v>
      </c>
      <c r="C3">
        <v>44</v>
      </c>
      <c r="E3" s="7">
        <f>D3*C3</f>
        <v>0</v>
      </c>
    </row>
    <row r="4" spans="1:5" ht="115.2" x14ac:dyDescent="0.3">
      <c r="B4" s="1" t="s">
        <v>20</v>
      </c>
    </row>
    <row r="6" spans="1:5" x14ac:dyDescent="0.3">
      <c r="A6" s="10">
        <v>2</v>
      </c>
      <c r="B6" s="2" t="s">
        <v>22</v>
      </c>
    </row>
    <row r="7" spans="1:5" x14ac:dyDescent="0.3">
      <c r="B7" s="1" t="s">
        <v>21</v>
      </c>
      <c r="C7">
        <v>44</v>
      </c>
      <c r="E7" s="7">
        <f>D7*C7</f>
        <v>0</v>
      </c>
    </row>
    <row r="8" spans="1:5" x14ac:dyDescent="0.3">
      <c r="A8" s="10">
        <v>3</v>
      </c>
      <c r="B8" s="2" t="s">
        <v>23</v>
      </c>
    </row>
    <row r="9" spans="1:5" x14ac:dyDescent="0.3">
      <c r="B9" s="1" t="s">
        <v>24</v>
      </c>
      <c r="C9">
        <v>44</v>
      </c>
      <c r="E9" s="7">
        <f>D9*C9</f>
        <v>0</v>
      </c>
    </row>
    <row r="10" spans="1:5" x14ac:dyDescent="0.3">
      <c r="B10" s="2"/>
    </row>
    <row r="12" spans="1:5" x14ac:dyDescent="0.3">
      <c r="A12" s="21"/>
      <c r="B12" s="12" t="s">
        <v>8</v>
      </c>
    </row>
    <row r="14" spans="1:5" x14ac:dyDescent="0.3">
      <c r="A14" s="10">
        <v>1</v>
      </c>
      <c r="B14" s="2" t="s">
        <v>4</v>
      </c>
      <c r="C14">
        <v>44</v>
      </c>
      <c r="E14" s="7">
        <f>D14*C14</f>
        <v>0</v>
      </c>
    </row>
    <row r="15" spans="1:5" ht="155.25" customHeight="1" x14ac:dyDescent="0.3">
      <c r="B15" s="1" t="s">
        <v>13</v>
      </c>
    </row>
    <row r="17" spans="4:5" x14ac:dyDescent="0.3">
      <c r="D17" s="5" t="s">
        <v>7</v>
      </c>
      <c r="E17" s="6">
        <f>SUM(E2:E16)</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0BB8-E9D4-4153-801D-F0D0B4844B90}">
  <dimension ref="A1:E5"/>
  <sheetViews>
    <sheetView zoomScale="130" zoomScaleNormal="130" workbookViewId="0">
      <selection activeCell="C3" sqref="C3:E3"/>
    </sheetView>
  </sheetViews>
  <sheetFormatPr defaultColWidth="11.5546875" defaultRowHeight="14.4" x14ac:dyDescent="0.3"/>
  <cols>
    <col min="1" max="1" width="11.44140625" style="10"/>
    <col min="2" max="2" width="106.44140625" customWidth="1"/>
  </cols>
  <sheetData>
    <row r="1" spans="1:5" ht="31.2" x14ac:dyDescent="0.6">
      <c r="B1" s="19"/>
    </row>
    <row r="3" spans="1:5" x14ac:dyDescent="0.3">
      <c r="B3" s="1"/>
      <c r="C3" t="s">
        <v>16</v>
      </c>
      <c r="D3" s="5" t="s">
        <v>15</v>
      </c>
      <c r="E3" t="s">
        <v>17</v>
      </c>
    </row>
    <row r="4" spans="1:5" x14ac:dyDescent="0.3">
      <c r="A4" s="10">
        <v>1</v>
      </c>
      <c r="B4" s="2" t="s">
        <v>18</v>
      </c>
      <c r="C4">
        <v>22</v>
      </c>
      <c r="D4" s="4"/>
      <c r="E4" s="7">
        <f>D4*C4</f>
        <v>0</v>
      </c>
    </row>
    <row r="5" spans="1:5" ht="121.5" customHeight="1" x14ac:dyDescent="0.3">
      <c r="B5" s="1" t="s">
        <v>14</v>
      </c>
      <c r="D5" s="4"/>
      <c r="E5"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c099b6-44f0-41a1-9bb0-a618374692ab" xsi:nil="true"/>
    <lcf76f155ced4ddcb4097134ff3c332f xmlns="624d5c92-b0bd-42db-a408-1d42552dfa2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CF6D6F9C1F0094283F8AAC0AA44207E" ma:contentTypeVersion="12" ma:contentTypeDescription="Crear nuevo documento." ma:contentTypeScope="" ma:versionID="ce6f704701348a547e127d66135f9759">
  <xsd:schema xmlns:xsd="http://www.w3.org/2001/XMLSchema" xmlns:xs="http://www.w3.org/2001/XMLSchema" xmlns:p="http://schemas.microsoft.com/office/2006/metadata/properties" xmlns:ns2="624d5c92-b0bd-42db-a408-1d42552dfa2f" xmlns:ns3="87c099b6-44f0-41a1-9bb0-a618374692ab" targetNamespace="http://schemas.microsoft.com/office/2006/metadata/properties" ma:root="true" ma:fieldsID="e14dd9caef2a5e2c282c4d5191963940" ns2:_="" ns3:_="">
    <xsd:import namespace="624d5c92-b0bd-42db-a408-1d42552dfa2f"/>
    <xsd:import namespace="87c099b6-44f0-41a1-9bb0-a618374692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4d5c92-b0bd-42db-a408-1d42552dfa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1d3f25f-6c0b-44ae-bf05-6ad5618f6a8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c099b6-44f0-41a1-9bb0-a618374692a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137b6e-c330-4bd9-b540-8caf6cf50f34}" ma:internalName="TaxCatchAll" ma:showField="CatchAllData" ma:web="87c099b6-44f0-41a1-9bb0-a618374692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ED8AFE-09E1-486C-B06A-A3E0ABC65641}">
  <ds:schemaRefs>
    <ds:schemaRef ds:uri="http://schemas.microsoft.com/office/2006/metadata/properties"/>
    <ds:schemaRef ds:uri="http://schemas.microsoft.com/office/infopath/2007/PartnerControls"/>
    <ds:schemaRef ds:uri="87c099b6-44f0-41a1-9bb0-a618374692ab"/>
    <ds:schemaRef ds:uri="624d5c92-b0bd-42db-a408-1d42552dfa2f"/>
  </ds:schemaRefs>
</ds:datastoreItem>
</file>

<file path=customXml/itemProps2.xml><?xml version="1.0" encoding="utf-8"?>
<ds:datastoreItem xmlns:ds="http://schemas.openxmlformats.org/officeDocument/2006/customXml" ds:itemID="{BA6CB0D6-89D8-4EE6-B3CE-CBA9B5A604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4d5c92-b0bd-42db-a408-1d42552dfa2f"/>
    <ds:schemaRef ds:uri="87c099b6-44f0-41a1-9bb0-a618374692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98623A-9C81-4B14-A4E4-23DCC5D65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DIPOSICION </vt:lpstr>
      <vt:lpstr>PODS</vt:lpstr>
      <vt:lpstr>SIDEPODS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Juanes</dc:creator>
  <cp:lastModifiedBy>Yeliz Cosar</cp:lastModifiedBy>
  <dcterms:created xsi:type="dcterms:W3CDTF">2026-03-23T15:53:45Z</dcterms:created>
  <dcterms:modified xsi:type="dcterms:W3CDTF">2026-05-13T13:57:26Z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0x010100CCF6D6F9C1F0094283F8AAC0AA44207E</vt:lpwstr>
  </property>
  <property fmtid="{D5CDD505-2E9C-101B-9397-08002B2CF9AE}" pid="3" name="MediaServiceImageTags">
    <vt:lpwstr/>
  </property>
</Properties>
</file>