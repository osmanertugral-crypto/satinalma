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eliz.cosar\Desktop\"/>
    </mc:Choice>
  </mc:AlternateContent>
  <xr:revisionPtr revIDLastSave="0" documentId="8_{5CD3B908-02E0-4BA9-BF5A-94605D011650}" xr6:coauthVersionLast="47" xr6:coauthVersionMax="47" xr10:uidLastSave="{00000000-0000-0000-0000-000000000000}"/>
  <bookViews>
    <workbookView xWindow="-108" yWindow="-108" windowWidth="23256" windowHeight="12456" xr2:uid="{BA95FC1E-CD1B-490F-9A0C-080875F12861}"/>
  </bookViews>
  <sheets>
    <sheet name="Maliyetlendirme" sheetId="6" r:id="rId1"/>
    <sheet name="Sayfa1" sheetId="5"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8" i="6" l="1"/>
  <c r="L18" i="6" s="1"/>
  <c r="K25" i="6"/>
  <c r="L25" i="6" s="1"/>
  <c r="K15" i="6"/>
  <c r="L15" i="6" s="1"/>
  <c r="K14" i="6"/>
  <c r="L14" i="6" s="1"/>
  <c r="K16" i="6"/>
  <c r="L16" i="6" s="1"/>
  <c r="K11" i="6"/>
  <c r="L11" i="6" s="1"/>
  <c r="K13" i="6"/>
  <c r="L13" i="6" s="1"/>
  <c r="L10" i="6"/>
  <c r="K17" i="6"/>
  <c r="L17" i="6" s="1"/>
  <c r="K12" i="6"/>
  <c r="L12" i="6" s="1"/>
  <c r="K19" i="6"/>
  <c r="L19" i="6" s="1"/>
  <c r="K20" i="6"/>
  <c r="L20" i="6" s="1"/>
  <c r="K21" i="6"/>
  <c r="L21" i="6" s="1"/>
  <c r="K22" i="6"/>
  <c r="L22" i="6" s="1"/>
  <c r="K23" i="6"/>
  <c r="L23" i="6" s="1"/>
  <c r="K24" i="6"/>
  <c r="L24" i="6" s="1"/>
  <c r="L26" i="6" l="1"/>
  <c r="L27" i="6" s="1"/>
</calcChain>
</file>

<file path=xl/sharedStrings.xml><?xml version="1.0" encoding="utf-8"?>
<sst xmlns="http://schemas.openxmlformats.org/spreadsheetml/2006/main" count="147" uniqueCount="121">
  <si>
    <t>Kategori</t>
  </si>
  <si>
    <t>Açıklama</t>
  </si>
  <si>
    <t>Yüksek Basınçlı Laminat (HPL)</t>
  </si>
  <si>
    <t>Duman Dedektörü</t>
  </si>
  <si>
    <t>Birim</t>
  </si>
  <si>
    <t>Priz</t>
  </si>
  <si>
    <t>1. MODEL</t>
  </si>
  <si>
    <r>
      <t>İnşaat sektöründe kullanılan 3 katmanlı ahşap panel “</t>
    </r>
    <r>
      <rPr>
        <b/>
        <sz val="12"/>
        <color theme="1"/>
        <rFont val="Aptos"/>
        <family val="2"/>
      </rPr>
      <t xml:space="preserve">NOVATOP SWP”. </t>
    </r>
    <r>
      <rPr>
        <sz val="12"/>
        <color theme="1"/>
        <rFont val="Aptos"/>
        <family val="2"/>
      </rPr>
      <t>Bu, malzeme kalınlığı, stabilite ve yük taşıma kapasitesine dayalı bir öneridir.</t>
    </r>
  </si>
  <si>
    <t>Alternatif olarak, Metal sandviç malzemeler veya diğer uygun malzemeler de kullanılabilir.</t>
  </si>
  <si>
    <t>2. DIŞ YÜZEY KAPLAMA</t>
  </si>
  <si>
    <r>
      <t>İnşaat PETG ve biyopolimer karışımından oluşan sert çekirdekli vinil (</t>
    </r>
    <r>
      <rPr>
        <b/>
        <sz val="12"/>
        <color theme="1"/>
        <rFont val="Aptos"/>
        <family val="2"/>
      </rPr>
      <t>Rigid Vinyl</t>
    </r>
    <r>
      <rPr>
        <sz val="12"/>
        <color theme="1"/>
        <rFont val="Aptos"/>
        <family val="2"/>
      </rPr>
      <t>) ile kaplanmış duvarlar, “</t>
    </r>
    <r>
      <rPr>
        <b/>
        <sz val="12"/>
        <color theme="1"/>
        <rFont val="Aptos"/>
        <family val="2"/>
      </rPr>
      <t>Palladium Rigid Sheet</t>
    </r>
    <r>
      <rPr>
        <sz val="12"/>
        <color theme="1"/>
        <rFont val="Aptos"/>
        <family val="2"/>
      </rPr>
      <t>” veya muadili plakalar.</t>
    </r>
  </si>
  <si>
    <t>Levhalar, dayanıklı, az bakım gerektiren bir yüzey sağlamak ve iki modül arasındaki birleşme yerini kapatmak için yerinde monte edilebilir.</t>
  </si>
  <si>
    <t>3. İÇ MEKAN VE DETAYLAR</t>
  </si>
  <si>
    <t>Üst modülde 180x200 cm ölçülerinde çift kişilik yatak şiltesi için yer bulunmaktadır.</t>
  </si>
  <si>
    <t>Depolama için duvara monte raflar,</t>
  </si>
  <si>
    <t>Yatağa çıkmak için duvara monte basamaklar,</t>
  </si>
  <si>
    <t>Tavan boyunca LED ışık şeridi.</t>
  </si>
  <si>
    <r>
      <t>Zemin Kaplaması: “</t>
    </r>
    <r>
      <rPr>
        <b/>
        <sz val="12"/>
        <color theme="1"/>
        <rFont val="Aptos"/>
        <family val="2"/>
      </rPr>
      <t>BOLON”</t>
    </r>
    <r>
      <rPr>
        <sz val="12"/>
        <color theme="1"/>
        <rFont val="Aptos"/>
        <family val="2"/>
      </rPr>
      <t xml:space="preserve"> marka dokuma vinil zemin kaplaması.</t>
    </r>
  </si>
  <si>
    <t>Duvar ve Tavan Kaplamaları: Dış cephe ile uyumlu sert vinil (Rigid Vinyl).</t>
  </si>
  <si>
    <r>
      <t>Mobilya Bileşenleri: Raflar, yatak çerçevesi ve basamaklar “</t>
    </r>
    <r>
      <rPr>
        <b/>
        <sz val="12"/>
        <color theme="1"/>
        <rFont val="Aptos"/>
        <family val="2"/>
      </rPr>
      <t>Yüksek Basınçlı Laminat</t>
    </r>
    <r>
      <rPr>
        <sz val="12"/>
        <color theme="1"/>
        <rFont val="Aptos"/>
        <family val="2"/>
      </rPr>
      <t xml:space="preserve"> (HPL)” malzemeden imal edilecektir.</t>
    </r>
  </si>
  <si>
    <t>4. GENEL ÖLÇÜLER</t>
  </si>
  <si>
    <r>
      <t>·</t>
    </r>
    <r>
      <rPr>
        <sz val="7"/>
        <color theme="1"/>
        <rFont val="Times New Roman"/>
        <family val="1"/>
        <charset val="162"/>
      </rPr>
      <t xml:space="preserve">         </t>
    </r>
    <r>
      <rPr>
        <sz val="12"/>
        <color theme="1"/>
        <rFont val="Aptos"/>
        <family val="2"/>
      </rPr>
      <t>Toplam Yükseklik: Yaklaşık 2600 mm.</t>
    </r>
  </si>
  <si>
    <r>
      <t>·</t>
    </r>
    <r>
      <rPr>
        <sz val="7"/>
        <color theme="1"/>
        <rFont val="Times New Roman"/>
        <family val="1"/>
        <charset val="162"/>
      </rPr>
      <t xml:space="preserve">         </t>
    </r>
    <r>
      <rPr>
        <sz val="12"/>
        <color theme="1"/>
        <rFont val="Aptos"/>
        <family val="2"/>
      </rPr>
      <t>Toplam Uzunluk: Yaklaşık 3101 mm.</t>
    </r>
  </si>
  <si>
    <r>
      <t>·</t>
    </r>
    <r>
      <rPr>
        <sz val="7"/>
        <color theme="1"/>
        <rFont val="Times New Roman"/>
        <family val="1"/>
        <charset val="162"/>
      </rPr>
      <t xml:space="preserve">         </t>
    </r>
    <r>
      <rPr>
        <sz val="12"/>
        <color theme="1"/>
        <rFont val="Aptos"/>
        <family val="2"/>
      </rPr>
      <t>Genişlik: Yaklaşık 1946 mm.</t>
    </r>
  </si>
  <si>
    <r>
      <t>·</t>
    </r>
    <r>
      <rPr>
        <sz val="7"/>
        <color theme="1"/>
        <rFont val="Times New Roman"/>
        <family val="1"/>
        <charset val="162"/>
      </rPr>
      <t xml:space="preserve">         </t>
    </r>
    <r>
      <rPr>
        <sz val="12"/>
        <color theme="1"/>
        <rFont val="Aptos"/>
        <family val="2"/>
      </rPr>
      <t>İç Net Yükseklik: Her modül için yaklaşık 1300 mm.</t>
    </r>
  </si>
  <si>
    <t>4. TEKNİK FONKSİYONLAR VE DONANIMLAR</t>
  </si>
  <si>
    <t>•     Pasif havalandırma sistemi, ses yalıtımı ve yangın izolasyonu standartları,</t>
  </si>
  <si>
    <t>•     Entegre duman dedektörü,</t>
  </si>
  <si>
    <t>•     İç mekanda stratejik noktalara yerleştirilmiş prizler,</t>
  </si>
  <si>
    <t>•     Tavan boyunca uzanan, kısılabilir (dimmable) entegre LED şerit aydınlatma sistemi,</t>
  </si>
  <si>
    <t>•     Ving Card okuyuculu elektronik kapı kilidi sistemi,</t>
  </si>
  <si>
    <r>
      <t>•     Pencereli kapı ve mahremiyet için camda elektronik buzlanma özelliği “</t>
    </r>
    <r>
      <rPr>
        <b/>
        <sz val="12"/>
        <color theme="1"/>
        <rFont val="Aptos"/>
        <family val="2"/>
      </rPr>
      <t>Electronic frosting</t>
    </r>
    <r>
      <rPr>
        <sz val="12"/>
        <color theme="1"/>
        <rFont val="Aptos"/>
        <family val="2"/>
      </rPr>
      <t>”.</t>
    </r>
  </si>
  <si>
    <r>
      <t xml:space="preserve">Gözden kaçmaması adına, dosyadaki bilgi ve detayların ilgili birimler tarafından </t>
    </r>
    <r>
      <rPr>
        <u/>
        <sz val="12"/>
        <color theme="1"/>
        <rFont val="Aptos"/>
        <family val="2"/>
      </rPr>
      <t>tekrar kontröl edilmesi</t>
    </r>
    <r>
      <rPr>
        <sz val="12"/>
        <color theme="1"/>
        <rFont val="Aptos"/>
        <family val="2"/>
      </rPr>
      <t xml:space="preserve"> önemlidir.</t>
    </r>
  </si>
  <si>
    <r>
      <t>Kabinler için (</t>
    </r>
    <r>
      <rPr>
        <i/>
        <sz val="12"/>
        <color theme="1"/>
        <rFont val="Aptos"/>
        <family val="2"/>
      </rPr>
      <t>180 adet L şeklinde</t>
    </r>
    <r>
      <rPr>
        <sz val="12"/>
        <color theme="1"/>
        <rFont val="Aptos"/>
        <family val="2"/>
      </rPr>
      <t>) birim fiyat ile birlikte toplam maliyet ve ayrıca üretim süresi ve sürecine ilişkin dönüş rica ederim.</t>
    </r>
  </si>
  <si>
    <t>Birim Fiyat</t>
  </si>
  <si>
    <t>Zemin</t>
  </si>
  <si>
    <t>Kapı</t>
  </si>
  <si>
    <t>Parça / Ürün Adı</t>
  </si>
  <si>
    <t>Marka</t>
  </si>
  <si>
    <t>Ölçü / Ebat</t>
  </si>
  <si>
    <t>Miktar</t>
  </si>
  <si>
    <t>Toplam Fiyat</t>
  </si>
  <si>
    <t>Görsel</t>
  </si>
  <si>
    <t>x</t>
  </si>
  <si>
    <t>Bolon</t>
  </si>
  <si>
    <t>1000x1946</t>
  </si>
  <si>
    <t xml:space="preserve">m2 </t>
  </si>
  <si>
    <t>800x220</t>
  </si>
  <si>
    <t>Elektronik Buzlu Cam</t>
  </si>
  <si>
    <t>165x23</t>
  </si>
  <si>
    <t>Kart Okuyucu</t>
  </si>
  <si>
    <t>Kart Okuyuculu Kapı</t>
  </si>
  <si>
    <t>Dış-İç Duvarlar</t>
  </si>
  <si>
    <t xml:space="preserve">3 Layerlı Ahşap Panel </t>
  </si>
  <si>
    <t>NOVATOP SWP</t>
  </si>
  <si>
    <t>Konstruksiyon</t>
  </si>
  <si>
    <t>Paslanmaz Çelik</t>
  </si>
  <si>
    <t xml:space="preserve">40x40x2 </t>
  </si>
  <si>
    <t>İç Duvarlar  - Sert Vinil(Laminat)</t>
  </si>
  <si>
    <t>Aksesuarlar</t>
  </si>
  <si>
    <t>LED</t>
  </si>
  <si>
    <t>Yatak</t>
  </si>
  <si>
    <t>180x200</t>
  </si>
  <si>
    <t>Aydınlatma</t>
  </si>
  <si>
    <t>Aydınlatma Kontrolü</t>
  </si>
  <si>
    <t>Havalandırma</t>
  </si>
  <si>
    <t>PROJE</t>
  </si>
  <si>
    <t>ÜSTYAPI</t>
  </si>
  <si>
    <t>KURUM</t>
  </si>
  <si>
    <t>RENK</t>
  </si>
  <si>
    <t>TARİH -ADET</t>
  </si>
  <si>
    <t>TOPLAM</t>
  </si>
  <si>
    <t>Adet</t>
  </si>
  <si>
    <t>Cm</t>
  </si>
  <si>
    <t>Metre</t>
  </si>
  <si>
    <t>Pilli Kendinden Alarmlı Akıllı Duman
 Dedekötrü-Tesisat Ve panel bağlantısız</t>
  </si>
  <si>
    <t>Viko Typce C Ve Usbli</t>
  </si>
  <si>
    <t>Menfez 25x25</t>
  </si>
  <si>
    <t>Asd Bute HPL</t>
  </si>
  <si>
    <t>Cata</t>
  </si>
  <si>
    <t>Tempo</t>
  </si>
  <si>
    <t>Dimmer</t>
  </si>
  <si>
    <t>Dimmer ve Sürücü</t>
  </si>
  <si>
    <t>Visco Yaylı Yatak</t>
  </si>
  <si>
    <t>Cata Gün Işığı</t>
  </si>
  <si>
    <t>Toplam TL</t>
  </si>
  <si>
    <t>Euro</t>
  </si>
  <si>
    <t>TL</t>
  </si>
  <si>
    <t>Ürün yerine sandviç panel tekniği ile 1.sırada bilgileri verilmiştir.</t>
  </si>
  <si>
    <t xml:space="preserve">Asd </t>
  </si>
  <si>
    <t>Asd Bute 1,2 mm Laminat Özel Üretim-HPL- Firmaya laminatlar
 verilip 60mm çift taraflı bask yaptırılacak</t>
  </si>
  <si>
    <t>Viko</t>
  </si>
  <si>
    <t xml:space="preserve">Camlı Kapı </t>
  </si>
  <si>
    <t>VingCard  Okuyucu</t>
  </si>
  <si>
    <t>5 Hafta</t>
  </si>
  <si>
    <t>20 gün</t>
  </si>
  <si>
    <t>15 Gün</t>
  </si>
  <si>
    <t>Bilgi Yok</t>
  </si>
  <si>
    <t>2 Gün</t>
  </si>
  <si>
    <t>2 Hafta</t>
  </si>
  <si>
    <t>KAPSÜL OTEL</t>
  </si>
  <si>
    <t>GALVANİZ PASLANMAZ ÇELİK KONSTRUKSİYON</t>
  </si>
  <si>
    <t>190 ADET</t>
  </si>
  <si>
    <t>Elektrik Tesisat -Kablo</t>
  </si>
  <si>
    <t>Tabloya girilmediğinden 50 Metre Kablo baz alınmıştır</t>
  </si>
  <si>
    <t>1 Hafta</t>
  </si>
  <si>
    <t>Kapı Panellerden çıkacak Ürünle yapılacak.Veya görsele uygun kapı bulunup Akıllı Buzlu cam yapıştırma yapılacak.
Akıllı  Cam ve Elektronik kilit Eklenecek. Ayrıca elektronik kilit alan açılacak Bu sebeple kapıya gidecek malzeme tahmin edilemediğinden ortalama tutar girilmiştir.</t>
  </si>
  <si>
    <t>Asd Bute 1,2 mm Laminat Özel Üretim-HPL- HPL yerine bute normal
 0,6mm laminat kullanılabilir. Terzih edilmesi durumunda
 m2 fiyat 5 Euro + Kdv dir</t>
  </si>
  <si>
    <t>Örgü Vinil</t>
  </si>
  <si>
    <t>Mobilya Aksesuar Ahşap</t>
  </si>
  <si>
    <t>Kontra Kavak</t>
  </si>
  <si>
    <t>170x220</t>
  </si>
  <si>
    <t>Mobilya ve aksesuar için lamiant bilgisi girildi fakat kotnra bilgisi girilmediğinden 1 plaka eklenmiştir.</t>
  </si>
  <si>
    <t>3 Gün</t>
  </si>
  <si>
    <t>*VingCard yurtdışına çıkacak ürün için fiyat veremiyor. Ama aldığımız bilgi doğrultusunda ortalama ürününe göre 225$ - 300$ fiyat aralığın Birim fiyat mevcut.. (VingCard Marka talebi ise)
*Bununla birlikte alınması gereken modüller ise -Master Kodlama 3 Adet 3000$  - 300 Adet KArt 300$   -Yazılım sistei 3750$   Nakliye 5000$ - Montaj 8000 Dolar -   Ek amliyetleri Mevcuttur (Ürün 250 dolar Ek ürünler Ortalama 105 Dolar  girilmiştir)
*Alternatif  Ürün için Kale MArka Ürün Yazlımsız:Kale Marka-KD040/87-500</t>
  </si>
  <si>
    <t>NOT</t>
  </si>
  <si>
    <t>4+4mm Lamine Cam üstü Akıllı Dolyo Montaj Dahil
Alternatif: 2 lamine cam arası yerine lamine cam üstüne yapıştırma  ürün kullanılabilir. Camları kendimiz taktırmamız gerekiyor. Cam Maliyeti 165x23 750 TL Montaj Hariç.Üstüne film kaplamalı akıllı Cam Toplam ortalama maliyet 210$  cavarıdır</t>
  </si>
  <si>
    <t xml:space="preserve">•	Ürünlere nakliye ve işçilik eklenmemiştir. 
•	Nowatop ürün yerine şartnamede yer alan sandviç panel tercih edilmiştir.
•	Açıklama kısmında talep edilen ürünlerin bazılarına alternatif ürünler aklenmiştir. Ör: VingCard bir marka oalrak mı yoksa Kart okutma olarak mı talep ediliyor anlaşılamadığından marka olarak fiyat girilmiştir.
•	Kapı Bilgisi girilmediğinden mevcut panelparçasından aynı renkte tarafımzıca bazı kısımları yapıalcaktır.
•	Mobilyada talep edilen HPL özellikli laminat dış panelde, mobilyada ise bizim kullandığımız Asd 0,6mm laminat alternatif olarak bilgisi verilmiştir
</t>
  </si>
  <si>
    <r>
      <t xml:space="preserve">* Paneller ortalama 65mm oalcağından yapı iskeleti 
Kons. En az 60x40x2mm  olmak zorunda
*Konstruksiyon profili maliyetten ötürü galvanizli profil seçilmiştir. </t>
    </r>
    <r>
      <rPr>
        <b/>
        <sz val="11"/>
        <color theme="1"/>
        <rFont val="Century Gothic"/>
        <family val="2"/>
        <charset val="162"/>
      </rPr>
      <t xml:space="preserve">60x40x2mm
</t>
    </r>
    <r>
      <rPr>
        <sz val="11"/>
        <color theme="1"/>
        <rFont val="Century Gothic"/>
        <family val="2"/>
        <charset val="162"/>
      </rPr>
      <t>*Zeminde extra 60mm Pır üstüne çökme yaşanmaması için 4-6mm kontra eklenecektir</t>
    </r>
    <r>
      <rPr>
        <b/>
        <sz val="11"/>
        <color theme="1"/>
        <rFont val="Century Gothic"/>
        <family val="2"/>
        <charset val="162"/>
      </rPr>
      <t xml:space="preserve">
</t>
    </r>
    <r>
      <rPr>
        <sz val="11"/>
        <color theme="1"/>
        <rFont val="Century Gothic"/>
        <family val="2"/>
        <charset val="162"/>
      </rPr>
      <t>*Kapı bölümüne 60x40 dan iskelet dönülecektir.
*Paneller 60mm 1 saatlik yangın dayanımı olan
Isı ve ses yalıtımlı  30 dancity Semi Pır esaslı Pu ürünüdür.
*Ürün 1.2mm kalınlığında özel üretim laminat ile çift taraflı basılacaktır.ürün tarafımzıdan temin edilecektir (alt sekmeye eklendi)</t>
    </r>
  </si>
  <si>
    <t>40 Gün</t>
  </si>
  <si>
    <t>Termin(İş Günü)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</si>
</sst>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2]\ * #,##0.00_-;\-[$€-2]\ * #,##0.00_-;_-[$€-2]\ * &quot;-&quot;??_-;_-@_-"/>
    <numFmt numFmtId="165" formatCode="_-[$$-409]* #,##0.00_ ;_-[$$-409]* \-#,##0.00\ ;_-[$$-409]* &quot;-&quot;??_ ;_-@_ "/>
  </numFmts>
  <fonts count="14"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b/>
      <sz val="12"/>
      <color theme="1"/>
      <name val="Aptos"/>
      <family val="2"/>
    </font>
    <font>
      <sz val="12"/>
      <color theme="1"/>
      <name val="Aptos"/>
      <family val="2"/>
    </font>
    <font>
      <sz val="10"/>
      <color theme="1"/>
      <name val="Symbol"/>
      <family val="1"/>
      <charset val="2"/>
    </font>
    <font>
      <sz val="7"/>
      <color theme="1"/>
      <name val="Times New Roman"/>
      <family val="1"/>
      <charset val="162"/>
    </font>
    <font>
      <u/>
      <sz val="12"/>
      <color theme="1"/>
      <name val="Aptos"/>
      <family val="2"/>
    </font>
    <font>
      <i/>
      <sz val="12"/>
      <color theme="1"/>
      <name val="Aptos"/>
      <family val="2"/>
    </font>
    <font>
      <sz val="11"/>
      <color theme="1"/>
      <name val="Century Gothic"/>
      <family val="2"/>
      <charset val="162"/>
    </font>
    <font>
      <b/>
      <sz val="11"/>
      <color theme="1"/>
      <name val="Century Gothic"/>
      <family val="2"/>
      <charset val="162"/>
    </font>
    <font>
      <b/>
      <sz val="12"/>
      <color theme="1"/>
      <name val="Century Gothic"/>
      <family val="2"/>
      <charset val="162"/>
    </font>
    <font>
      <sz val="12"/>
      <color theme="1"/>
      <name val="Century Gothic"/>
      <family val="2"/>
      <charset val="162"/>
    </font>
    <font>
      <b/>
      <sz val="11"/>
      <color rgb="FFFF0000"/>
      <name val="Century Gothic"/>
      <family val="2"/>
      <charset val="162"/>
    </font>
  </fonts>
  <fills count="7">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D5"/>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 fillId="0" borderId="0"/>
    <xf numFmtId="44" fontId="2" fillId="0" borderId="0" applyFont="0" applyFill="0" applyBorder="0" applyAlignment="0" applyProtection="0"/>
  </cellStyleXfs>
  <cellXfs count="70">
    <xf numFmtId="0" fontId="0" fillId="0" borderId="0" xfId="0"/>
    <xf numFmtId="0" fontId="3" fillId="0" borderId="0" xfId="0" applyFont="1" applyAlignment="1">
      <alignment horizontal="left" vertical="center" indent="2"/>
    </xf>
    <xf numFmtId="0" fontId="4" fillId="0" borderId="0" xfId="0" applyFont="1" applyAlignment="1">
      <alignment horizontal="left" vertical="center" indent="1"/>
    </xf>
    <xf numFmtId="0" fontId="4" fillId="0" borderId="0" xfId="0" applyFont="1" applyAlignment="1">
      <alignment vertical="center"/>
    </xf>
    <xf numFmtId="0" fontId="4" fillId="0" borderId="0" xfId="0" applyFont="1" applyAlignment="1">
      <alignment horizontal="left" vertical="center" indent="5"/>
    </xf>
    <xf numFmtId="0" fontId="5" fillId="0" borderId="0" xfId="0" applyFont="1" applyAlignment="1">
      <alignment horizontal="left" vertical="center" indent="8"/>
    </xf>
    <xf numFmtId="0" fontId="9" fillId="0" borderId="0" xfId="0" applyFont="1"/>
    <xf numFmtId="0" fontId="9" fillId="0" borderId="1" xfId="0" applyFont="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44" fontId="9" fillId="0" borderId="1" xfId="2" applyFont="1" applyBorder="1" applyAlignment="1">
      <alignment horizontal="center" vertical="center"/>
    </xf>
    <xf numFmtId="164" fontId="9" fillId="0" borderId="1" xfId="2" applyNumberFormat="1" applyFont="1" applyBorder="1" applyAlignment="1">
      <alignment horizontal="center" vertical="center"/>
    </xf>
    <xf numFmtId="0" fontId="9" fillId="0" borderId="1" xfId="0" applyFont="1" applyBorder="1" applyAlignment="1">
      <alignment vertical="center" wrapText="1"/>
    </xf>
    <xf numFmtId="2" fontId="9" fillId="0" borderId="0" xfId="0" applyNumberFormat="1" applyFont="1"/>
    <xf numFmtId="2" fontId="9" fillId="0" borderId="0" xfId="0" applyNumberFormat="1" applyFont="1" applyAlignment="1">
      <alignment horizontal="left"/>
    </xf>
    <xf numFmtId="44" fontId="10" fillId="2" borderId="5" xfId="0" applyNumberFormat="1" applyFont="1" applyFill="1" applyBorder="1" applyAlignment="1">
      <alignment horizontal="right" vertical="center"/>
    </xf>
    <xf numFmtId="0" fontId="9" fillId="5" borderId="1" xfId="0" applyFont="1" applyFill="1" applyBorder="1" applyAlignment="1">
      <alignment horizontal="center" vertical="center"/>
    </xf>
    <xf numFmtId="0" fontId="9" fillId="5" borderId="1" xfId="0" applyFont="1" applyFill="1" applyBorder="1" applyAlignment="1">
      <alignment horizontal="left" vertical="center"/>
    </xf>
    <xf numFmtId="44" fontId="9" fillId="5" borderId="1" xfId="2" applyFont="1" applyFill="1" applyBorder="1" applyAlignment="1">
      <alignment horizontal="center" vertical="center"/>
    </xf>
    <xf numFmtId="0" fontId="9" fillId="6" borderId="1" xfId="0" applyFont="1" applyFill="1" applyBorder="1" applyAlignment="1">
      <alignment horizontal="center" vertical="center"/>
    </xf>
    <xf numFmtId="165" fontId="9" fillId="0" borderId="1" xfId="2" applyNumberFormat="1" applyFont="1" applyBorder="1" applyAlignment="1">
      <alignment horizontal="center" vertical="center"/>
    </xf>
    <xf numFmtId="0" fontId="9" fillId="5" borderId="1" xfId="0" applyFont="1" applyFill="1" applyBorder="1" applyAlignment="1">
      <alignment vertical="center"/>
    </xf>
    <xf numFmtId="0" fontId="9" fillId="0" borderId="1" xfId="0" applyFont="1" applyBorder="1" applyAlignment="1">
      <alignment horizontal="left" vertical="center" wrapText="1"/>
    </xf>
    <xf numFmtId="0" fontId="9" fillId="0" borderId="0" xfId="0" applyFont="1" applyAlignment="1">
      <alignment vertical="center"/>
    </xf>
    <xf numFmtId="0" fontId="9" fillId="0" borderId="1" xfId="0" applyFont="1" applyBorder="1" applyAlignment="1">
      <alignment horizontal="center" vertical="center" wrapText="1"/>
    </xf>
    <xf numFmtId="0" fontId="9" fillId="0" borderId="0" xfId="0" applyFont="1" applyAlignment="1">
      <alignment horizontal="center" vertical="center"/>
    </xf>
    <xf numFmtId="0" fontId="12" fillId="0" borderId="0" xfId="0" applyFont="1"/>
    <xf numFmtId="44" fontId="10" fillId="2" borderId="6" xfId="0" applyNumberFormat="1" applyFont="1" applyFill="1" applyBorder="1" applyAlignment="1">
      <alignment horizontal="right" vertical="center"/>
    </xf>
    <xf numFmtId="44" fontId="10" fillId="2" borderId="6" xfId="0" applyNumberFormat="1" applyFont="1" applyFill="1" applyBorder="1" applyAlignment="1">
      <alignment horizontal="center" vertical="center"/>
    </xf>
    <xf numFmtId="0" fontId="9" fillId="3" borderId="27" xfId="0" applyFont="1" applyFill="1" applyBorder="1"/>
    <xf numFmtId="0" fontId="9" fillId="3" borderId="28" xfId="0" applyFont="1" applyFill="1" applyBorder="1"/>
    <xf numFmtId="0" fontId="9" fillId="3" borderId="28" xfId="0" applyFont="1" applyFill="1" applyBorder="1" applyAlignment="1">
      <alignment horizontal="left"/>
    </xf>
    <xf numFmtId="0" fontId="9" fillId="3" borderId="28" xfId="0" applyFont="1" applyFill="1" applyBorder="1" applyAlignment="1">
      <alignment horizontal="center" vertical="center"/>
    </xf>
    <xf numFmtId="0" fontId="9" fillId="3" borderId="29" xfId="0" applyFont="1" applyFill="1" applyBorder="1"/>
    <xf numFmtId="0" fontId="9" fillId="0" borderId="30" xfId="0" applyFont="1" applyBorder="1" applyAlignment="1">
      <alignment vertical="center"/>
    </xf>
    <xf numFmtId="0" fontId="9" fillId="0" borderId="31" xfId="0" applyFont="1" applyBorder="1" applyAlignment="1">
      <alignment vertical="center"/>
    </xf>
    <xf numFmtId="0" fontId="9" fillId="5" borderId="30" xfId="0" applyFont="1" applyFill="1" applyBorder="1" applyAlignment="1">
      <alignment vertical="center"/>
    </xf>
    <xf numFmtId="0" fontId="9" fillId="5" borderId="31" xfId="0" applyFont="1" applyFill="1" applyBorder="1" applyAlignment="1">
      <alignment vertical="center"/>
    </xf>
    <xf numFmtId="0" fontId="9" fillId="0" borderId="30" xfId="0" applyFont="1" applyBorder="1" applyAlignment="1">
      <alignment vertical="center" wrapText="1"/>
    </xf>
    <xf numFmtId="0" fontId="9" fillId="0" borderId="32" xfId="0" applyFont="1" applyBorder="1" applyAlignment="1">
      <alignment vertical="center"/>
    </xf>
    <xf numFmtId="0" fontId="9" fillId="0" borderId="33" xfId="0" applyFont="1" applyBorder="1" applyAlignment="1">
      <alignment vertical="center"/>
    </xf>
    <xf numFmtId="0" fontId="9" fillId="0" borderId="33" xfId="0" applyFont="1" applyBorder="1" applyAlignment="1">
      <alignment horizontal="center" vertical="center"/>
    </xf>
    <xf numFmtId="0" fontId="9" fillId="0" borderId="33" xfId="0" applyFont="1" applyBorder="1" applyAlignment="1">
      <alignment horizontal="left" vertical="center"/>
    </xf>
    <xf numFmtId="44" fontId="9" fillId="0" borderId="33" xfId="2" applyFont="1" applyBorder="1" applyAlignment="1">
      <alignment horizontal="center" vertical="center"/>
    </xf>
    <xf numFmtId="0" fontId="9" fillId="0" borderId="34" xfId="0" applyFont="1" applyBorder="1" applyAlignment="1">
      <alignment vertical="center"/>
    </xf>
    <xf numFmtId="0" fontId="11" fillId="4" borderId="24" xfId="0" applyFont="1" applyFill="1" applyBorder="1" applyAlignment="1">
      <alignment horizontal="left"/>
    </xf>
    <xf numFmtId="0" fontId="11" fillId="4" borderId="25" xfId="0" applyFont="1" applyFill="1" applyBorder="1" applyAlignment="1">
      <alignment horizontal="left"/>
    </xf>
    <xf numFmtId="0" fontId="11" fillId="4" borderId="26" xfId="0" applyFont="1" applyFill="1" applyBorder="1" applyAlignment="1">
      <alignment horizontal="left"/>
    </xf>
    <xf numFmtId="0" fontId="13" fillId="0" borderId="7" xfId="0" applyFont="1" applyBorder="1" applyAlignment="1">
      <alignment horizontal="center" vertical="center"/>
    </xf>
    <xf numFmtId="0" fontId="13" fillId="0" borderId="13" xfId="0" applyFont="1" applyBorder="1" applyAlignment="1">
      <alignment horizontal="center" vertical="center"/>
    </xf>
    <xf numFmtId="0" fontId="13" fillId="0" borderId="10" xfId="0" applyFont="1" applyBorder="1" applyAlignment="1">
      <alignment horizontal="center" vertical="center"/>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0" xfId="0" applyFont="1" applyAlignment="1">
      <alignment horizontal="left" vertical="center" wrapText="1"/>
    </xf>
    <xf numFmtId="0" fontId="9" fillId="0" borderId="14"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0" fontId="11" fillId="3" borderId="15" xfId="0" applyFont="1" applyFill="1" applyBorder="1" applyAlignment="1">
      <alignment horizontal="center"/>
    </xf>
    <xf numFmtId="0" fontId="11" fillId="3" borderId="16" xfId="0" applyFont="1" applyFill="1" applyBorder="1" applyAlignment="1">
      <alignment horizontal="center"/>
    </xf>
    <xf numFmtId="0" fontId="11" fillId="3" borderId="20" xfId="0" applyFont="1" applyFill="1" applyBorder="1" applyAlignment="1">
      <alignment horizontal="center"/>
    </xf>
    <xf numFmtId="0" fontId="11" fillId="3" borderId="4" xfId="0" applyFont="1" applyFill="1" applyBorder="1" applyAlignment="1">
      <alignment horizontal="center"/>
    </xf>
    <xf numFmtId="0" fontId="11" fillId="3" borderId="22" xfId="0" applyFont="1" applyFill="1" applyBorder="1" applyAlignment="1">
      <alignment horizontal="center"/>
    </xf>
    <xf numFmtId="0" fontId="11" fillId="3" borderId="23" xfId="0" applyFont="1" applyFill="1" applyBorder="1" applyAlignment="1">
      <alignment horizontal="center"/>
    </xf>
    <xf numFmtId="0" fontId="11" fillId="4" borderId="17" xfId="0" applyFont="1" applyFill="1" applyBorder="1" applyAlignment="1">
      <alignment horizontal="left"/>
    </xf>
    <xf numFmtId="0" fontId="11" fillId="4" borderId="18" xfId="0" applyFont="1" applyFill="1" applyBorder="1" applyAlignment="1">
      <alignment horizontal="left"/>
    </xf>
    <xf numFmtId="0" fontId="11" fillId="4" borderId="19" xfId="0" applyFont="1" applyFill="1" applyBorder="1" applyAlignment="1">
      <alignment horizontal="left"/>
    </xf>
    <xf numFmtId="0" fontId="11" fillId="4" borderId="2" xfId="0" applyFont="1" applyFill="1" applyBorder="1" applyAlignment="1">
      <alignment horizontal="left"/>
    </xf>
    <xf numFmtId="0" fontId="11" fillId="4" borderId="3" xfId="0" applyFont="1" applyFill="1" applyBorder="1" applyAlignment="1">
      <alignment horizontal="left"/>
    </xf>
    <xf numFmtId="0" fontId="11" fillId="4" borderId="21" xfId="0" applyFont="1" applyFill="1" applyBorder="1" applyAlignment="1">
      <alignment horizontal="left"/>
    </xf>
    <xf numFmtId="164" fontId="10" fillId="2" borderId="5" xfId="0" applyNumberFormat="1" applyFont="1" applyFill="1" applyBorder="1" applyAlignment="1">
      <alignment horizontal="center" vertical="center"/>
    </xf>
  </cellXfs>
  <cellStyles count="3">
    <cellStyle name="Normal" xfId="0" builtinId="0"/>
    <cellStyle name="Normal 2" xfId="1" xr:uid="{B4716F7D-D368-4BBC-B121-95FEF976DFCE}"/>
    <cellStyle name="ParaBirimi" xfId="2" builtinId="4"/>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dimension ref="A1:M32"/>
  <sheetViews>
    <sheetView tabSelected="1" topLeftCell="A7" zoomScale="55" zoomScaleNormal="55" workbookViewId="0">
      <selection activeCell="K10" sqref="K10"/>
    </sheetView>
  </sheetViews>
  <sheetFormatPr defaultColWidth="9.109375" defaultRowHeight="13.8" x14ac:dyDescent="0.25"/>
  <cols>
    <col min="1" max="1" width="17.88671875" style="6" customWidth="1"/>
    <col min="2" max="2" width="25.109375" style="6" customWidth="1"/>
    <col min="3" max="3" width="32.33203125" style="6" customWidth="1"/>
    <col min="4" max="4" width="21.109375" style="6" customWidth="1"/>
    <col min="5" max="5" width="16.6640625" style="6" customWidth="1"/>
    <col min="6" max="7" width="9.109375" style="6"/>
    <col min="8" max="8" width="65.88671875" style="6" customWidth="1"/>
    <col min="9" max="9" width="16.33203125" style="25" customWidth="1"/>
    <col min="10" max="10" width="14.88671875" style="6" customWidth="1"/>
    <col min="11" max="11" width="14.33203125" style="6" customWidth="1"/>
    <col min="12" max="12" width="20" style="6" customWidth="1"/>
    <col min="13" max="13" width="22.33203125" style="6" customWidth="1"/>
    <col min="14" max="16384" width="9.109375" style="6"/>
  </cols>
  <sheetData>
    <row r="1" spans="1:13" ht="14.4" thickBot="1" x14ac:dyDescent="0.3">
      <c r="B1" s="13">
        <v>44.42</v>
      </c>
      <c r="C1" s="14">
        <v>51.531700000000001</v>
      </c>
    </row>
    <row r="2" spans="1:13" s="26" customFormat="1" ht="18.899999999999999" customHeight="1" x14ac:dyDescent="0.25">
      <c r="A2" s="57" t="s">
        <v>66</v>
      </c>
      <c r="B2" s="58"/>
      <c r="C2" s="63" t="s">
        <v>100</v>
      </c>
      <c r="D2" s="64"/>
      <c r="E2" s="64"/>
      <c r="F2" s="64"/>
      <c r="G2" s="64"/>
      <c r="H2" s="64"/>
      <c r="I2" s="64"/>
      <c r="J2" s="64"/>
      <c r="K2" s="64"/>
      <c r="L2" s="64"/>
      <c r="M2" s="65"/>
    </row>
    <row r="3" spans="1:13" s="26" customFormat="1" ht="18.899999999999999" customHeight="1" x14ac:dyDescent="0.25">
      <c r="A3" s="59" t="s">
        <v>67</v>
      </c>
      <c r="B3" s="60"/>
      <c r="C3" s="66" t="s">
        <v>101</v>
      </c>
      <c r="D3" s="67"/>
      <c r="E3" s="67"/>
      <c r="F3" s="67"/>
      <c r="G3" s="67"/>
      <c r="H3" s="67"/>
      <c r="I3" s="67"/>
      <c r="J3" s="67"/>
      <c r="K3" s="67"/>
      <c r="L3" s="67"/>
      <c r="M3" s="68"/>
    </row>
    <row r="4" spans="1:13" s="26" customFormat="1" ht="18.899999999999999" customHeight="1" x14ac:dyDescent="0.25">
      <c r="A4" s="59" t="s">
        <v>68</v>
      </c>
      <c r="B4" s="60"/>
      <c r="C4" s="66"/>
      <c r="D4" s="67"/>
      <c r="E4" s="67"/>
      <c r="F4" s="67"/>
      <c r="G4" s="67"/>
      <c r="H4" s="67"/>
      <c r="I4" s="67"/>
      <c r="J4" s="67"/>
      <c r="K4" s="67"/>
      <c r="L4" s="67"/>
      <c r="M4" s="68"/>
    </row>
    <row r="5" spans="1:13" s="26" customFormat="1" ht="18.899999999999999" customHeight="1" x14ac:dyDescent="0.25">
      <c r="A5" s="59" t="s">
        <v>69</v>
      </c>
      <c r="B5" s="60"/>
      <c r="C5" s="66"/>
      <c r="D5" s="67"/>
      <c r="E5" s="67"/>
      <c r="F5" s="67"/>
      <c r="G5" s="67"/>
      <c r="H5" s="67"/>
      <c r="I5" s="67"/>
      <c r="J5" s="67"/>
      <c r="K5" s="67"/>
      <c r="L5" s="67"/>
      <c r="M5" s="68"/>
    </row>
    <row r="6" spans="1:13" s="26" customFormat="1" ht="18.899999999999999" customHeight="1" x14ac:dyDescent="0.25">
      <c r="A6" s="59" t="s">
        <v>70</v>
      </c>
      <c r="B6" s="60"/>
      <c r="C6" s="66"/>
      <c r="D6" s="67"/>
      <c r="E6" s="67"/>
      <c r="F6" s="67"/>
      <c r="G6" s="67"/>
      <c r="H6" s="67"/>
      <c r="I6" s="67"/>
      <c r="J6" s="67"/>
      <c r="K6" s="67"/>
      <c r="L6" s="67"/>
      <c r="M6" s="68"/>
    </row>
    <row r="7" spans="1:13" s="26" customFormat="1" ht="18.899999999999999" customHeight="1" thickBot="1" x14ac:dyDescent="0.3">
      <c r="A7" s="61" t="s">
        <v>71</v>
      </c>
      <c r="B7" s="62"/>
      <c r="C7" s="45" t="s">
        <v>102</v>
      </c>
      <c r="D7" s="46"/>
      <c r="E7" s="46"/>
      <c r="F7" s="46"/>
      <c r="G7" s="46"/>
      <c r="H7" s="46"/>
      <c r="I7" s="46"/>
      <c r="J7" s="46"/>
      <c r="K7" s="46"/>
      <c r="L7" s="46"/>
      <c r="M7" s="47"/>
    </row>
    <row r="8" spans="1:13" ht="9" customHeight="1" thickBot="1" x14ac:dyDescent="0.3"/>
    <row r="9" spans="1:13" ht="18" customHeight="1" x14ac:dyDescent="0.25">
      <c r="A9" s="29" t="s">
        <v>0</v>
      </c>
      <c r="B9" s="30" t="s">
        <v>37</v>
      </c>
      <c r="C9" s="30" t="s">
        <v>1</v>
      </c>
      <c r="D9" s="30" t="s">
        <v>38</v>
      </c>
      <c r="E9" s="30" t="s">
        <v>39</v>
      </c>
      <c r="F9" s="30" t="s">
        <v>40</v>
      </c>
      <c r="G9" s="31" t="s">
        <v>4</v>
      </c>
      <c r="H9" s="30" t="s">
        <v>1</v>
      </c>
      <c r="I9" s="32" t="s">
        <v>120</v>
      </c>
      <c r="J9" s="30" t="s">
        <v>34</v>
      </c>
      <c r="K9" s="30" t="s">
        <v>41</v>
      </c>
      <c r="L9" s="30" t="s">
        <v>85</v>
      </c>
      <c r="M9" s="33" t="s">
        <v>42</v>
      </c>
    </row>
    <row r="10" spans="1:13" ht="217.5" customHeight="1" x14ac:dyDescent="0.25">
      <c r="A10" s="34"/>
      <c r="B10" s="7" t="s">
        <v>55</v>
      </c>
      <c r="C10" s="7" t="s">
        <v>56</v>
      </c>
      <c r="D10" s="7" t="s">
        <v>43</v>
      </c>
      <c r="E10" s="19" t="s">
        <v>57</v>
      </c>
      <c r="F10" s="8">
        <v>50</v>
      </c>
      <c r="G10" s="9" t="s">
        <v>74</v>
      </c>
      <c r="H10" s="12" t="s">
        <v>118</v>
      </c>
      <c r="I10" s="24" t="s">
        <v>119</v>
      </c>
      <c r="J10" s="11">
        <v>3550</v>
      </c>
      <c r="K10" s="10">
        <v>90000</v>
      </c>
      <c r="L10" s="10">
        <f t="shared" ref="L10:L13" si="0">K10</f>
        <v>90000</v>
      </c>
      <c r="M10" s="35"/>
    </row>
    <row r="11" spans="1:13" ht="27.6" x14ac:dyDescent="0.25">
      <c r="A11" s="34"/>
      <c r="B11" s="7" t="s">
        <v>52</v>
      </c>
      <c r="C11" s="7" t="s">
        <v>58</v>
      </c>
      <c r="D11" s="7" t="s">
        <v>89</v>
      </c>
      <c r="E11" s="8"/>
      <c r="F11" s="8">
        <v>55</v>
      </c>
      <c r="G11" s="9" t="s">
        <v>46</v>
      </c>
      <c r="H11" s="12" t="s">
        <v>90</v>
      </c>
      <c r="I11" s="24" t="s">
        <v>94</v>
      </c>
      <c r="J11" s="11">
        <v>8.5</v>
      </c>
      <c r="K11" s="11">
        <f t="shared" ref="K10:K11" si="1">J11*F11</f>
        <v>467.5</v>
      </c>
      <c r="L11" s="10">
        <f>K11*C1</f>
        <v>24091.069749999999</v>
      </c>
      <c r="M11" s="35"/>
    </row>
    <row r="12" spans="1:13" x14ac:dyDescent="0.25">
      <c r="A12" s="36"/>
      <c r="B12" s="21" t="s">
        <v>52</v>
      </c>
      <c r="C12" s="21" t="s">
        <v>53</v>
      </c>
      <c r="D12" s="21" t="s">
        <v>54</v>
      </c>
      <c r="E12" s="16"/>
      <c r="F12" s="16">
        <v>55</v>
      </c>
      <c r="G12" s="17" t="s">
        <v>46</v>
      </c>
      <c r="H12" s="21" t="s">
        <v>88</v>
      </c>
      <c r="I12" s="16"/>
      <c r="J12" s="18"/>
      <c r="K12" s="18">
        <f t="shared" ref="K12:K25" si="2">J12*F12</f>
        <v>0</v>
      </c>
      <c r="L12" s="18">
        <f t="shared" si="0"/>
        <v>0</v>
      </c>
      <c r="M12" s="37"/>
    </row>
    <row r="13" spans="1:13" ht="102.75" customHeight="1" x14ac:dyDescent="0.25">
      <c r="A13" s="34"/>
      <c r="B13" s="7" t="s">
        <v>36</v>
      </c>
      <c r="C13" s="12" t="s">
        <v>92</v>
      </c>
      <c r="D13" s="7" t="s">
        <v>43</v>
      </c>
      <c r="E13" s="8" t="s">
        <v>47</v>
      </c>
      <c r="F13" s="8">
        <v>1</v>
      </c>
      <c r="G13" s="9" t="s">
        <v>72</v>
      </c>
      <c r="H13" s="12" t="s">
        <v>106</v>
      </c>
      <c r="I13" s="24" t="s">
        <v>95</v>
      </c>
      <c r="J13" s="10">
        <v>2000</v>
      </c>
      <c r="K13" s="10">
        <f t="shared" si="2"/>
        <v>2000</v>
      </c>
      <c r="L13" s="10">
        <f t="shared" si="0"/>
        <v>2000</v>
      </c>
      <c r="M13" s="35"/>
    </row>
    <row r="14" spans="1:13" ht="69" x14ac:dyDescent="0.25">
      <c r="A14" s="34"/>
      <c r="B14" s="7" t="s">
        <v>36</v>
      </c>
      <c r="C14" s="7" t="s">
        <v>48</v>
      </c>
      <c r="D14" s="7" t="s">
        <v>43</v>
      </c>
      <c r="E14" s="8" t="s">
        <v>49</v>
      </c>
      <c r="F14" s="8">
        <v>1</v>
      </c>
      <c r="G14" s="9" t="s">
        <v>72</v>
      </c>
      <c r="H14" s="12" t="s">
        <v>116</v>
      </c>
      <c r="I14" s="8" t="s">
        <v>96</v>
      </c>
      <c r="J14" s="20">
        <v>275</v>
      </c>
      <c r="K14" s="20">
        <f t="shared" si="2"/>
        <v>275</v>
      </c>
      <c r="L14" s="10">
        <f>K14*B1</f>
        <v>12215.5</v>
      </c>
      <c r="M14" s="35"/>
    </row>
    <row r="15" spans="1:13" ht="154.5" customHeight="1" x14ac:dyDescent="0.25">
      <c r="A15" s="38"/>
      <c r="B15" s="7" t="s">
        <v>50</v>
      </c>
      <c r="C15" s="7" t="s">
        <v>51</v>
      </c>
      <c r="D15" s="7" t="s">
        <v>93</v>
      </c>
      <c r="E15" s="8"/>
      <c r="F15" s="8">
        <v>1</v>
      </c>
      <c r="G15" s="9" t="s">
        <v>72</v>
      </c>
      <c r="H15" s="22" t="s">
        <v>114</v>
      </c>
      <c r="I15" s="24" t="s">
        <v>97</v>
      </c>
      <c r="J15" s="20">
        <v>355</v>
      </c>
      <c r="K15" s="20">
        <f t="shared" si="2"/>
        <v>355</v>
      </c>
      <c r="L15" s="10">
        <f>K15*B1</f>
        <v>15769.1</v>
      </c>
      <c r="M15" s="35"/>
    </row>
    <row r="16" spans="1:13" x14ac:dyDescent="0.25">
      <c r="A16" s="34"/>
      <c r="B16" s="7" t="s">
        <v>35</v>
      </c>
      <c r="C16" s="7" t="s">
        <v>43</v>
      </c>
      <c r="D16" s="7" t="s">
        <v>44</v>
      </c>
      <c r="E16" s="8" t="s">
        <v>45</v>
      </c>
      <c r="F16" s="8">
        <v>2</v>
      </c>
      <c r="G16" s="9" t="s">
        <v>46</v>
      </c>
      <c r="H16" s="7" t="s">
        <v>108</v>
      </c>
      <c r="I16" s="8" t="s">
        <v>94</v>
      </c>
      <c r="J16" s="11">
        <v>55</v>
      </c>
      <c r="K16" s="11">
        <f t="shared" si="2"/>
        <v>110</v>
      </c>
      <c r="L16" s="10">
        <f>K16*C1</f>
        <v>5668.4870000000001</v>
      </c>
      <c r="M16" s="35"/>
    </row>
    <row r="17" spans="1:13" ht="55.2" x14ac:dyDescent="0.25">
      <c r="A17" s="34"/>
      <c r="B17" s="7" t="s">
        <v>59</v>
      </c>
      <c r="C17" s="7" t="s">
        <v>2</v>
      </c>
      <c r="D17" s="7" t="s">
        <v>78</v>
      </c>
      <c r="E17" s="8"/>
      <c r="F17" s="8">
        <v>6</v>
      </c>
      <c r="G17" s="9" t="s">
        <v>46</v>
      </c>
      <c r="H17" s="12" t="s">
        <v>107</v>
      </c>
      <c r="I17" s="8" t="s">
        <v>94</v>
      </c>
      <c r="J17" s="11">
        <v>8.5</v>
      </c>
      <c r="K17" s="11">
        <f t="shared" si="2"/>
        <v>51</v>
      </c>
      <c r="L17" s="10">
        <f>K17*C1</f>
        <v>2628.1167</v>
      </c>
      <c r="M17" s="35"/>
    </row>
    <row r="18" spans="1:13" ht="27.6" x14ac:dyDescent="0.25">
      <c r="A18" s="34"/>
      <c r="B18" s="7" t="s">
        <v>109</v>
      </c>
      <c r="C18" s="7" t="s">
        <v>110</v>
      </c>
      <c r="D18" s="7" t="s">
        <v>111</v>
      </c>
      <c r="E18" s="8"/>
      <c r="F18" s="8">
        <v>1</v>
      </c>
      <c r="G18" s="9" t="s">
        <v>72</v>
      </c>
      <c r="H18" s="12" t="s">
        <v>112</v>
      </c>
      <c r="I18" s="8" t="s">
        <v>113</v>
      </c>
      <c r="J18" s="10">
        <v>1250</v>
      </c>
      <c r="K18" s="10">
        <f t="shared" si="2"/>
        <v>1250</v>
      </c>
      <c r="L18" s="10">
        <f t="shared" ref="L18:L25" si="3">K18</f>
        <v>1250</v>
      </c>
      <c r="M18" s="35"/>
    </row>
    <row r="19" spans="1:13" x14ac:dyDescent="0.25">
      <c r="A19" s="34"/>
      <c r="B19" s="7" t="s">
        <v>59</v>
      </c>
      <c r="C19" s="7" t="s">
        <v>60</v>
      </c>
      <c r="D19" s="7" t="s">
        <v>79</v>
      </c>
      <c r="E19" s="8"/>
      <c r="F19" s="8">
        <v>4</v>
      </c>
      <c r="G19" s="9" t="s">
        <v>74</v>
      </c>
      <c r="H19" s="7" t="s">
        <v>84</v>
      </c>
      <c r="I19" s="8" t="s">
        <v>98</v>
      </c>
      <c r="J19" s="10">
        <v>50</v>
      </c>
      <c r="K19" s="10">
        <f t="shared" si="2"/>
        <v>200</v>
      </c>
      <c r="L19" s="10">
        <f>K19</f>
        <v>200</v>
      </c>
      <c r="M19" s="35"/>
    </row>
    <row r="20" spans="1:13" x14ac:dyDescent="0.25">
      <c r="A20" s="34"/>
      <c r="B20" s="7" t="s">
        <v>59</v>
      </c>
      <c r="C20" s="7" t="s">
        <v>61</v>
      </c>
      <c r="D20" s="7" t="s">
        <v>80</v>
      </c>
      <c r="E20" s="8" t="s">
        <v>62</v>
      </c>
      <c r="F20" s="8">
        <v>1</v>
      </c>
      <c r="G20" s="9" t="s">
        <v>73</v>
      </c>
      <c r="H20" s="7" t="s">
        <v>83</v>
      </c>
      <c r="I20" s="8" t="s">
        <v>99</v>
      </c>
      <c r="J20" s="10">
        <v>10000</v>
      </c>
      <c r="K20" s="10">
        <f t="shared" si="2"/>
        <v>10000</v>
      </c>
      <c r="L20" s="10">
        <f t="shared" si="3"/>
        <v>10000</v>
      </c>
      <c r="M20" s="35"/>
    </row>
    <row r="21" spans="1:13" x14ac:dyDescent="0.25">
      <c r="A21" s="34"/>
      <c r="B21" s="7" t="s">
        <v>63</v>
      </c>
      <c r="C21" s="7" t="s">
        <v>64</v>
      </c>
      <c r="D21" s="7" t="s">
        <v>81</v>
      </c>
      <c r="E21" s="8"/>
      <c r="F21" s="8">
        <v>1</v>
      </c>
      <c r="G21" s="9" t="s">
        <v>72</v>
      </c>
      <c r="H21" s="7" t="s">
        <v>82</v>
      </c>
      <c r="I21" s="8" t="s">
        <v>98</v>
      </c>
      <c r="J21" s="10">
        <v>750</v>
      </c>
      <c r="K21" s="10">
        <f t="shared" si="2"/>
        <v>750</v>
      </c>
      <c r="L21" s="10">
        <f t="shared" si="3"/>
        <v>750</v>
      </c>
      <c r="M21" s="35"/>
    </row>
    <row r="22" spans="1:13" ht="41.25" customHeight="1" x14ac:dyDescent="0.25">
      <c r="A22" s="34"/>
      <c r="B22" s="7" t="s">
        <v>3</v>
      </c>
      <c r="C22" s="7"/>
      <c r="D22" s="7"/>
      <c r="E22" s="8"/>
      <c r="F22" s="8">
        <v>1</v>
      </c>
      <c r="G22" s="9" t="s">
        <v>72</v>
      </c>
      <c r="H22" s="12" t="s">
        <v>75</v>
      </c>
      <c r="I22" s="24" t="s">
        <v>98</v>
      </c>
      <c r="J22" s="10">
        <v>1650</v>
      </c>
      <c r="K22" s="10">
        <f t="shared" si="2"/>
        <v>1650</v>
      </c>
      <c r="L22" s="10">
        <f t="shared" si="3"/>
        <v>1650</v>
      </c>
      <c r="M22" s="35"/>
    </row>
    <row r="23" spans="1:13" x14ac:dyDescent="0.25">
      <c r="A23" s="34"/>
      <c r="B23" s="7" t="s">
        <v>5</v>
      </c>
      <c r="C23" s="7"/>
      <c r="D23" s="7" t="s">
        <v>91</v>
      </c>
      <c r="E23" s="8"/>
      <c r="F23" s="8">
        <v>4</v>
      </c>
      <c r="G23" s="9" t="s">
        <v>72</v>
      </c>
      <c r="H23" s="7" t="s">
        <v>76</v>
      </c>
      <c r="I23" s="8" t="s">
        <v>98</v>
      </c>
      <c r="J23" s="10">
        <v>250</v>
      </c>
      <c r="K23" s="10">
        <f t="shared" si="2"/>
        <v>1000</v>
      </c>
      <c r="L23" s="10">
        <f t="shared" si="3"/>
        <v>1000</v>
      </c>
      <c r="M23" s="35"/>
    </row>
    <row r="24" spans="1:13" x14ac:dyDescent="0.25">
      <c r="A24" s="34"/>
      <c r="B24" s="7" t="s">
        <v>65</v>
      </c>
      <c r="C24" s="7"/>
      <c r="D24" s="7"/>
      <c r="E24" s="8"/>
      <c r="F24" s="8">
        <v>1</v>
      </c>
      <c r="G24" s="9" t="s">
        <v>72</v>
      </c>
      <c r="H24" s="7" t="s">
        <v>77</v>
      </c>
      <c r="I24" s="8" t="s">
        <v>98</v>
      </c>
      <c r="J24" s="10">
        <v>350</v>
      </c>
      <c r="K24" s="10">
        <f t="shared" si="2"/>
        <v>350</v>
      </c>
      <c r="L24" s="10">
        <f t="shared" si="3"/>
        <v>350</v>
      </c>
      <c r="M24" s="35"/>
    </row>
    <row r="25" spans="1:13" ht="14.4" thickBot="1" x14ac:dyDescent="0.3">
      <c r="A25" s="39"/>
      <c r="B25" s="40" t="s">
        <v>103</v>
      </c>
      <c r="C25" s="40"/>
      <c r="D25" s="40"/>
      <c r="E25" s="41"/>
      <c r="F25" s="41">
        <v>50</v>
      </c>
      <c r="G25" s="42" t="s">
        <v>74</v>
      </c>
      <c r="H25" s="40" t="s">
        <v>104</v>
      </c>
      <c r="I25" s="41" t="s">
        <v>105</v>
      </c>
      <c r="J25" s="43">
        <v>60</v>
      </c>
      <c r="K25" s="43">
        <f t="shared" si="2"/>
        <v>3000</v>
      </c>
      <c r="L25" s="43">
        <f t="shared" si="3"/>
        <v>3000</v>
      </c>
      <c r="M25" s="44"/>
    </row>
    <row r="26" spans="1:13" ht="20.25" customHeight="1" thickBot="1" x14ac:dyDescent="0.3">
      <c r="A26" s="23"/>
      <c r="B26" s="23"/>
      <c r="C26" s="23"/>
      <c r="D26" s="23"/>
      <c r="E26" s="23"/>
      <c r="F26" s="23"/>
      <c r="G26" s="23"/>
      <c r="H26" s="23"/>
      <c r="J26" s="23"/>
      <c r="K26" s="27" t="s">
        <v>87</v>
      </c>
      <c r="L26" s="28">
        <f>SUM(L10:L25)</f>
        <v>170572.27345000001</v>
      </c>
      <c r="M26" s="23"/>
    </row>
    <row r="27" spans="1:13" ht="17.25" customHeight="1" thickBot="1" x14ac:dyDescent="0.3">
      <c r="A27" s="48" t="s">
        <v>115</v>
      </c>
      <c r="B27" s="51" t="s">
        <v>117</v>
      </c>
      <c r="C27" s="51"/>
      <c r="D27" s="51"/>
      <c r="E27" s="51"/>
      <c r="F27" s="51"/>
      <c r="G27" s="51"/>
      <c r="H27" s="52"/>
      <c r="J27" s="23"/>
      <c r="K27" s="15" t="s">
        <v>86</v>
      </c>
      <c r="L27" s="69">
        <f>L26/C1</f>
        <v>3310.0455341081315</v>
      </c>
      <c r="M27" s="23"/>
    </row>
    <row r="28" spans="1:13" x14ac:dyDescent="0.25">
      <c r="A28" s="49"/>
      <c r="B28" s="53"/>
      <c r="C28" s="53"/>
      <c r="D28" s="53"/>
      <c r="E28" s="53"/>
      <c r="F28" s="53"/>
      <c r="G28" s="53"/>
      <c r="H28" s="54"/>
    </row>
    <row r="29" spans="1:13" x14ac:dyDescent="0.25">
      <c r="A29" s="49"/>
      <c r="B29" s="53"/>
      <c r="C29" s="53"/>
      <c r="D29" s="53"/>
      <c r="E29" s="53"/>
      <c r="F29" s="53"/>
      <c r="G29" s="53"/>
      <c r="H29" s="54"/>
    </row>
    <row r="30" spans="1:13" ht="51" customHeight="1" x14ac:dyDescent="0.25">
      <c r="A30" s="49"/>
      <c r="B30" s="53"/>
      <c r="C30" s="53"/>
      <c r="D30" s="53"/>
      <c r="E30" s="53"/>
      <c r="F30" s="53"/>
      <c r="G30" s="53"/>
      <c r="H30" s="54"/>
    </row>
    <row r="31" spans="1:13" x14ac:dyDescent="0.25">
      <c r="A31" s="49"/>
      <c r="B31" s="53"/>
      <c r="C31" s="53"/>
      <c r="D31" s="53"/>
      <c r="E31" s="53"/>
      <c r="F31" s="53"/>
      <c r="G31" s="53"/>
      <c r="H31" s="54"/>
    </row>
    <row r="32" spans="1:13" ht="14.4" thickBot="1" x14ac:dyDescent="0.3">
      <c r="A32" s="50"/>
      <c r="B32" s="55"/>
      <c r="C32" s="55"/>
      <c r="D32" s="55"/>
      <c r="E32" s="55"/>
      <c r="F32" s="55"/>
      <c r="G32" s="55"/>
      <c r="H32" s="56"/>
    </row>
  </sheetData>
  <mergeCells count="14">
    <mergeCell ref="C7:M7"/>
    <mergeCell ref="A27:A32"/>
    <mergeCell ref="B27:H32"/>
    <mergeCell ref="A2:B2"/>
    <mergeCell ref="A3:B3"/>
    <mergeCell ref="A4:B4"/>
    <mergeCell ref="A5:B5"/>
    <mergeCell ref="A6:B6"/>
    <mergeCell ref="A7:B7"/>
    <mergeCell ref="C2:M2"/>
    <mergeCell ref="C3:M3"/>
    <mergeCell ref="C4:M4"/>
    <mergeCell ref="C5:M5"/>
    <mergeCell ref="C6:M6"/>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D0B76-514A-43ED-96EF-965429D4C6B9}">
  <dimension ref="A1:A34"/>
  <sheetViews>
    <sheetView workbookViewId="0">
      <selection activeCell="N28" sqref="N28"/>
    </sheetView>
  </sheetViews>
  <sheetFormatPr defaultRowHeight="14.4" x14ac:dyDescent="0.3"/>
  <sheetData>
    <row r="1" spans="1:1" ht="15.6" x14ac:dyDescent="0.3">
      <c r="A1" s="1" t="s">
        <v>6</v>
      </c>
    </row>
    <row r="2" spans="1:1" ht="15.6" x14ac:dyDescent="0.3">
      <c r="A2" s="2" t="s">
        <v>7</v>
      </c>
    </row>
    <row r="3" spans="1:1" ht="15.6" x14ac:dyDescent="0.3">
      <c r="A3" s="2" t="s">
        <v>8</v>
      </c>
    </row>
    <row r="4" spans="1:1" ht="15.6" x14ac:dyDescent="0.3">
      <c r="A4" s="3"/>
    </row>
    <row r="5" spans="1:1" ht="15.6" x14ac:dyDescent="0.3">
      <c r="A5" s="1" t="s">
        <v>9</v>
      </c>
    </row>
    <row r="6" spans="1:1" ht="15.6" x14ac:dyDescent="0.3">
      <c r="A6" s="2" t="s">
        <v>10</v>
      </c>
    </row>
    <row r="7" spans="1:1" ht="15.6" x14ac:dyDescent="0.3">
      <c r="A7" s="2" t="s">
        <v>11</v>
      </c>
    </row>
    <row r="8" spans="1:1" ht="15.6" x14ac:dyDescent="0.3">
      <c r="A8" s="3"/>
    </row>
    <row r="9" spans="1:1" ht="15.6" x14ac:dyDescent="0.3">
      <c r="A9" s="1" t="s">
        <v>12</v>
      </c>
    </row>
    <row r="10" spans="1:1" ht="15.6" x14ac:dyDescent="0.3">
      <c r="A10" s="2" t="s">
        <v>13</v>
      </c>
    </row>
    <row r="11" spans="1:1" ht="15.6" x14ac:dyDescent="0.3">
      <c r="A11" s="2" t="s">
        <v>14</v>
      </c>
    </row>
    <row r="12" spans="1:1" ht="15.6" x14ac:dyDescent="0.3">
      <c r="A12" s="2" t="s">
        <v>15</v>
      </c>
    </row>
    <row r="13" spans="1:1" ht="15.6" x14ac:dyDescent="0.3">
      <c r="A13" s="2" t="s">
        <v>16</v>
      </c>
    </row>
    <row r="14" spans="1:1" ht="15.6" x14ac:dyDescent="0.3">
      <c r="A14" s="2" t="s">
        <v>17</v>
      </c>
    </row>
    <row r="15" spans="1:1" ht="15.6" x14ac:dyDescent="0.3">
      <c r="A15" s="2" t="s">
        <v>18</v>
      </c>
    </row>
    <row r="16" spans="1:1" ht="15.6" x14ac:dyDescent="0.3">
      <c r="A16" s="2" t="s">
        <v>19</v>
      </c>
    </row>
    <row r="17" spans="1:1" ht="15.6" x14ac:dyDescent="0.3">
      <c r="A17" s="4"/>
    </row>
    <row r="18" spans="1:1" ht="15.6" x14ac:dyDescent="0.3">
      <c r="A18" s="1" t="s">
        <v>20</v>
      </c>
    </row>
    <row r="19" spans="1:1" ht="15.6" x14ac:dyDescent="0.3">
      <c r="A19" s="5" t="s">
        <v>21</v>
      </c>
    </row>
    <row r="20" spans="1:1" ht="15.6" x14ac:dyDescent="0.3">
      <c r="A20" s="5" t="s">
        <v>22</v>
      </c>
    </row>
    <row r="21" spans="1:1" ht="15.6" x14ac:dyDescent="0.3">
      <c r="A21" s="5" t="s">
        <v>23</v>
      </c>
    </row>
    <row r="22" spans="1:1" ht="15.6" x14ac:dyDescent="0.3">
      <c r="A22" s="5" t="s">
        <v>24</v>
      </c>
    </row>
    <row r="23" spans="1:1" ht="15.6" x14ac:dyDescent="0.3">
      <c r="A23" s="3"/>
    </row>
    <row r="24" spans="1:1" ht="15.6" x14ac:dyDescent="0.3">
      <c r="A24" s="1" t="s">
        <v>25</v>
      </c>
    </row>
    <row r="25" spans="1:1" ht="15.6" x14ac:dyDescent="0.3">
      <c r="A25" s="3" t="s">
        <v>26</v>
      </c>
    </row>
    <row r="26" spans="1:1" ht="15.6" x14ac:dyDescent="0.3">
      <c r="A26" s="3" t="s">
        <v>27</v>
      </c>
    </row>
    <row r="27" spans="1:1" ht="15.6" x14ac:dyDescent="0.3">
      <c r="A27" s="4" t="s">
        <v>28</v>
      </c>
    </row>
    <row r="28" spans="1:1" ht="15.6" x14ac:dyDescent="0.3">
      <c r="A28" s="4" t="s">
        <v>29</v>
      </c>
    </row>
    <row r="29" spans="1:1" ht="15.6" x14ac:dyDescent="0.3">
      <c r="A29" s="4" t="s">
        <v>30</v>
      </c>
    </row>
    <row r="30" spans="1:1" ht="15.6" x14ac:dyDescent="0.3">
      <c r="A30" s="4" t="s">
        <v>31</v>
      </c>
    </row>
    <row r="31" spans="1:1" ht="15.6" x14ac:dyDescent="0.3">
      <c r="A31" s="3"/>
    </row>
    <row r="32" spans="1:1" ht="15.6" x14ac:dyDescent="0.3">
      <c r="A32" s="3" t="s">
        <v>32</v>
      </c>
    </row>
    <row r="33" spans="1:1" ht="15.6" x14ac:dyDescent="0.3">
      <c r="A33" s="3"/>
    </row>
    <row r="34" spans="1:1" ht="15.6" x14ac:dyDescent="0.3">
      <c r="A34" s="3" t="s">
        <v>33</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Maliyetlendirme</vt: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Yeliz Cosar</cp:lastModifiedBy>
  <dcterms:created xsi:type="dcterms:W3CDTF">2026-03-25T06:09:07Z</dcterms:created>
  <dcterms:modified xsi:type="dcterms:W3CDTF">2026-05-13T11:08:53Z</dcterms:modified>
</cp:coreProperties>
</file>