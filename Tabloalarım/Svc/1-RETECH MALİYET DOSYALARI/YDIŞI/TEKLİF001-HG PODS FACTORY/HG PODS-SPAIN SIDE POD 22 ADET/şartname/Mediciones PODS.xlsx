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1-RETECH MALİYET DOSYALARI\YDIŞI\TEKLİF009-HG PODS FACTORY\HG PODS-SPAIN SIDE POD 22 ADET\şartname\"/>
    </mc:Choice>
  </mc:AlternateContent>
  <xr:revisionPtr revIDLastSave="0" documentId="13_ncr:1_{A3384DA6-66AA-403A-95C2-05705DD3A2E6}" xr6:coauthVersionLast="47" xr6:coauthVersionMax="47" xr10:uidLastSave="{00000000-0000-0000-0000-000000000000}"/>
  <bookViews>
    <workbookView xWindow="-108" yWindow="-108" windowWidth="23256" windowHeight="12456" activeTab="1" xr2:uid="{9ED7A808-DC82-4835-833E-9BDCC4AE1B3A}"/>
  </bookViews>
  <sheets>
    <sheet name="DIPOSICION " sheetId="1" r:id="rId1"/>
    <sheet name="PARTIDAS PODS" sheetId="2" r:id="rId2"/>
    <sheet name="PARTIDA SIDEPOD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E3" i="2"/>
  <c r="E4" i="3"/>
  <c r="D37" i="1"/>
  <c r="E14" i="2"/>
  <c r="E9" i="2"/>
  <c r="E7" i="2"/>
  <c r="E17" i="2" l="1"/>
</calcChain>
</file>

<file path=xl/sharedStrings.xml><?xml version="1.0" encoding="utf-8"?>
<sst xmlns="http://schemas.openxmlformats.org/spreadsheetml/2006/main" count="58" uniqueCount="27">
  <si>
    <t>HABITACION</t>
  </si>
  <si>
    <t>PLANTAS</t>
  </si>
  <si>
    <t>BAJA</t>
  </si>
  <si>
    <t>NUMERO PODS</t>
  </si>
  <si>
    <t>P2</t>
  </si>
  <si>
    <t>P1</t>
  </si>
  <si>
    <t xml:space="preserve">PODS CAMA DOBLE </t>
  </si>
  <si>
    <t>BATIENTE ACUSTICO</t>
  </si>
  <si>
    <t>CERRAMIENTO PUERTA CON BISAGRAS AMORTIGUADAS INTERIOR OCULTA</t>
  </si>
  <si>
    <t>Formada por tres puntos de la marca inther Beta 3045  o similar</t>
  </si>
  <si>
    <t xml:space="preserve"> Burlete bajo puerta automático, KG-S, Planet de 80 cm</t>
  </si>
  <si>
    <t>PODS CAMA DOBLE -VARIANTE GP-RES</t>
  </si>
  <si>
    <t>nº hab</t>
  </si>
  <si>
    <t xml:space="preserve">TOTAL </t>
  </si>
  <si>
    <t>CANTIDAD</t>
  </si>
  <si>
    <t>PRECIO</t>
  </si>
  <si>
    <t>IMPORTE</t>
  </si>
  <si>
    <t>TOTAL</t>
  </si>
  <si>
    <t>ALTERNATIVA</t>
  </si>
  <si>
    <t>POZOS DULCES 21</t>
  </si>
  <si>
    <t>NUMERO SIDEPOS</t>
  </si>
  <si>
    <t>Bº CAMAS</t>
  </si>
  <si>
    <t>POZOS DULCES 25</t>
  </si>
  <si>
    <t xml:space="preserve">SIDEPODS CAMA INDIVIDUAL </t>
  </si>
  <si>
    <t>Estructura de PODS doble, con cama de matrimonio de dimensiones 3,60x2,30, formado por dos habitaculos con acceso a cama superior e inferior  según planos y diseño ,Construida con  formado  mdf hidrofugo con terminación  segun planos , la estructura estara reforzada en su interior por tmdf hidrofugo todo a convenir y lamina acustica , La parte interior del habitaculo de la cama estará tapizado por ELASTRON , se formarán cuarterones según diseño, el habitáculo interior se entregará con enchufes en la zona de armario, tira de led interior oculta calida 2700ºK se entregará preparado para ser conectado a la red, rejillas de ventilacion y apoyo bandas acusticas a suelo mediante FONODAN 50 ,  incluso modo de cerramiento formado paredes con panel sandwich por su caras exteriores mdf  según diseño y alma interior de XPS, incluye puertas de entrada  abatibles enradas con el mismo acabado, sin marcos, mecanicado interior para cerradura electronica aportada por la Propiedad , incluso sellado perimetral para estanqueidad,  transporte , acopio , traslado interior de obra y conexionado</t>
  </si>
  <si>
    <t>Estructura de PODS doble, con cama de matrimonio de dimensiones 3,60x2,30, formado por dos habitaculos con acceso a cama superior e inferior  según planos y diseño ,Construida con  formado  GP-RES-LDR y poliestireno 20kg(m2  con lamina acustica absorvente de impactos DANOSA MAD 4 con terminación segun planos, la estructura estara reforzada en su interior por tmdf hidrofugo todo a convenir y lamina acustica , La parte interior del habitaculo de la cama estará tapizado por ELASTRON , se formarán cuarterones según diseño, el habitáculo interior se entregará con enchufes en la zona de armario, tira de led interior oculta calida 2700ºK se entregará preparado para ser conectado a la red, rejillas de ventilacion y apoyo bandas acusticas a suelo mediante FONODAN 50 ,  incluso modo de cerramiento formado paredes ,con un panel sandwich por su caras exteriores mdf  según diseño y alma interior de XPS, incluye puertas de entrada  abatibles enradas con el mismo acabado, sin marcos, mecanicado interior para cerradura electronica aportada por la Propiedad , incluso sellado perimetral para estanqueidad,  transporte , acopio , traslado interior de obra y conexionado</t>
  </si>
  <si>
    <t>Estructura de SIDEPODS individual , con cama  de dimensiones 1,00x2,30, formado por dos habitaculos con acceso a cama superior e inferior  lateral  según planos y diseño ,Construida con  formado  mdf hidrofugo con terminación segun planos, la estructura estara reforzada en su interior por tmdf hidrofugo todo a convenir y lamina acustica , La parte interior del habitaculo de la cama estará tapizado por ELASTRON , se formarán cuarterones según diseño, el habitáculo interior se entregará con enchufes interruptores, tira de led interior oculta calida 2700ºK se entregará preparado para ser conectado a la red, rejillas de ventilacion y apoyo bandas acusticas a suelo mediante FONODAN 50,  incluso modo de cerramiento formado paredes acabado o similar que forma un panel sandwich por su caras exteriores mdf  según diseño y alma interior de XPS, incluye escaleras, puerta corredera de cierra, incluso  transporte , acopio , traslado interior de obra y conexionado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</si>
</sst>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_-[$€-2]\ * #,##0.00_-;\-[$€-2]\ * #,##0.00_-;_-[$€-2]\ * &quot;-&quot;??_-;_-@_-"/>
    <numFmt numFmtId="167" formatCode="_-[$€-2]\ * #,##0_-;\-[$€-2]\ * #,##0_-;_-[$€-2]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4" fontId="0" fillId="0" borderId="0" xfId="0" applyNumberFormat="1"/>
    <xf numFmtId="4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/>
    </xf>
    <xf numFmtId="0" fontId="1" fillId="3" borderId="0" xfId="0" applyFont="1" applyFill="1"/>
    <xf numFmtId="0" fontId="1" fillId="2" borderId="0" xfId="0" applyFont="1" applyFill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6443-C8D1-4A0B-9E40-2B52C6CB84A0}">
  <dimension ref="A2:E37"/>
  <sheetViews>
    <sheetView workbookViewId="0">
      <selection activeCell="F9" sqref="F9"/>
    </sheetView>
  </sheetViews>
  <sheetFormatPr defaultColWidth="11.5546875" defaultRowHeight="14.4" x14ac:dyDescent="0.3"/>
  <cols>
    <col min="2" max="2" width="22.6640625" customWidth="1"/>
    <col min="4" max="4" width="18" customWidth="1"/>
  </cols>
  <sheetData>
    <row r="2" spans="1:4" x14ac:dyDescent="0.3">
      <c r="A2" s="8"/>
      <c r="B2" s="9" t="s">
        <v>19</v>
      </c>
      <c r="C2" s="8"/>
      <c r="D2" s="8"/>
    </row>
    <row r="3" spans="1:4" x14ac:dyDescent="0.3">
      <c r="A3" s="3" t="s">
        <v>1</v>
      </c>
      <c r="B3" s="3" t="s">
        <v>0</v>
      </c>
      <c r="C3" s="3" t="s">
        <v>12</v>
      </c>
      <c r="D3" s="3" t="s">
        <v>3</v>
      </c>
    </row>
    <row r="5" spans="1:4" x14ac:dyDescent="0.3">
      <c r="A5" s="13" t="s">
        <v>2</v>
      </c>
      <c r="B5" s="14">
        <v>1</v>
      </c>
      <c r="C5" s="14">
        <v>301</v>
      </c>
      <c r="D5" s="14">
        <v>4</v>
      </c>
    </row>
    <row r="6" spans="1:4" x14ac:dyDescent="0.3">
      <c r="A6" s="13" t="s">
        <v>2</v>
      </c>
      <c r="B6" s="14">
        <v>2</v>
      </c>
      <c r="C6" s="14">
        <v>302</v>
      </c>
      <c r="D6" s="14">
        <v>2</v>
      </c>
    </row>
    <row r="7" spans="1:4" x14ac:dyDescent="0.3">
      <c r="A7" s="15" t="s">
        <v>5</v>
      </c>
      <c r="B7" s="16">
        <v>1</v>
      </c>
      <c r="C7" s="16">
        <v>303</v>
      </c>
      <c r="D7" s="16">
        <v>4</v>
      </c>
    </row>
    <row r="8" spans="1:4" x14ac:dyDescent="0.3">
      <c r="A8" s="15" t="s">
        <v>5</v>
      </c>
      <c r="B8" s="16">
        <v>2</v>
      </c>
      <c r="C8" s="16">
        <v>304</v>
      </c>
      <c r="D8" s="16">
        <v>2</v>
      </c>
    </row>
    <row r="9" spans="1:4" x14ac:dyDescent="0.3">
      <c r="A9" s="15" t="s">
        <v>5</v>
      </c>
      <c r="B9" s="16">
        <v>3</v>
      </c>
      <c r="C9" s="16">
        <v>305</v>
      </c>
      <c r="D9" s="16">
        <v>5</v>
      </c>
    </row>
    <row r="10" spans="1:4" x14ac:dyDescent="0.3">
      <c r="A10" s="15" t="s">
        <v>5</v>
      </c>
      <c r="B10" s="16">
        <v>4</v>
      </c>
      <c r="C10" s="16">
        <v>306</v>
      </c>
      <c r="D10" s="16">
        <v>4</v>
      </c>
    </row>
    <row r="11" spans="1:4" x14ac:dyDescent="0.3">
      <c r="A11" s="15" t="s">
        <v>5</v>
      </c>
      <c r="B11" s="16">
        <v>5</v>
      </c>
      <c r="C11" s="16">
        <v>307</v>
      </c>
      <c r="D11" s="16">
        <v>4</v>
      </c>
    </row>
    <row r="12" spans="1:4" x14ac:dyDescent="0.3">
      <c r="A12" s="15" t="s">
        <v>5</v>
      </c>
      <c r="B12" s="16">
        <v>6</v>
      </c>
      <c r="C12" s="16">
        <v>308</v>
      </c>
      <c r="D12" s="16">
        <v>3</v>
      </c>
    </row>
    <row r="13" spans="1:4" x14ac:dyDescent="0.3">
      <c r="A13" s="17" t="s">
        <v>4</v>
      </c>
      <c r="B13" s="18">
        <v>1</v>
      </c>
      <c r="C13" s="18">
        <v>309</v>
      </c>
      <c r="D13" s="18">
        <v>4</v>
      </c>
    </row>
    <row r="14" spans="1:4" x14ac:dyDescent="0.3">
      <c r="A14" s="17" t="s">
        <v>4</v>
      </c>
      <c r="B14" s="18">
        <v>2</v>
      </c>
      <c r="C14" s="18">
        <v>310</v>
      </c>
      <c r="D14" s="18">
        <v>2</v>
      </c>
    </row>
    <row r="15" spans="1:4" x14ac:dyDescent="0.3">
      <c r="A15" s="17" t="s">
        <v>4</v>
      </c>
      <c r="B15" s="18">
        <v>4</v>
      </c>
      <c r="C15" s="18">
        <v>311</v>
      </c>
      <c r="D15" s="18">
        <v>3</v>
      </c>
    </row>
    <row r="16" spans="1:4" x14ac:dyDescent="0.3">
      <c r="A16" s="17" t="s">
        <v>4</v>
      </c>
      <c r="B16" s="18">
        <v>5</v>
      </c>
      <c r="C16" s="18">
        <v>312</v>
      </c>
      <c r="D16" s="18">
        <v>4</v>
      </c>
    </row>
    <row r="17" spans="1:5" x14ac:dyDescent="0.3">
      <c r="A17" s="17" t="s">
        <v>4</v>
      </c>
      <c r="B17" s="18">
        <v>6</v>
      </c>
      <c r="C17" s="18">
        <v>313</v>
      </c>
      <c r="D17" s="18">
        <v>3</v>
      </c>
    </row>
    <row r="18" spans="1:5" x14ac:dyDescent="0.3">
      <c r="C18" s="11" t="s">
        <v>13</v>
      </c>
      <c r="D18" s="11">
        <f>SUM(D5:D17)</f>
        <v>44</v>
      </c>
    </row>
    <row r="22" spans="1:5" x14ac:dyDescent="0.3">
      <c r="A22" s="8"/>
      <c r="B22" s="9" t="s">
        <v>22</v>
      </c>
      <c r="C22" s="8"/>
      <c r="D22" s="8"/>
    </row>
    <row r="23" spans="1:5" x14ac:dyDescent="0.3">
      <c r="A23" s="3" t="s">
        <v>1</v>
      </c>
      <c r="B23" s="3" t="s">
        <v>0</v>
      </c>
      <c r="C23" s="3" t="s">
        <v>12</v>
      </c>
      <c r="D23" s="3" t="s">
        <v>20</v>
      </c>
      <c r="E23" s="3" t="s">
        <v>21</v>
      </c>
    </row>
    <row r="25" spans="1:5" x14ac:dyDescent="0.3">
      <c r="A25" s="13" t="s">
        <v>2</v>
      </c>
      <c r="B25" s="14">
        <v>1</v>
      </c>
      <c r="C25" s="14"/>
      <c r="D25" s="14">
        <v>4</v>
      </c>
      <c r="E25" s="14">
        <v>8</v>
      </c>
    </row>
    <row r="26" spans="1:5" x14ac:dyDescent="0.3">
      <c r="A26" s="13" t="s">
        <v>2</v>
      </c>
      <c r="B26" s="14">
        <v>2</v>
      </c>
      <c r="C26" s="14"/>
      <c r="D26" s="14">
        <v>2</v>
      </c>
      <c r="E26" s="14">
        <v>4</v>
      </c>
    </row>
    <row r="27" spans="1:5" x14ac:dyDescent="0.3">
      <c r="A27" s="13" t="s">
        <v>2</v>
      </c>
      <c r="B27" s="14">
        <v>3</v>
      </c>
      <c r="C27" s="14"/>
      <c r="D27" s="14">
        <v>2</v>
      </c>
      <c r="E27" s="14">
        <v>4</v>
      </c>
    </row>
    <row r="28" spans="1:5" x14ac:dyDescent="0.3">
      <c r="A28" s="13" t="s">
        <v>2</v>
      </c>
      <c r="B28" s="14">
        <v>4</v>
      </c>
      <c r="C28" s="14"/>
      <c r="D28" s="14">
        <v>2</v>
      </c>
      <c r="E28" s="14">
        <v>4</v>
      </c>
    </row>
    <row r="29" spans="1:5" x14ac:dyDescent="0.3">
      <c r="A29" s="13" t="s">
        <v>2</v>
      </c>
      <c r="B29" s="14">
        <v>5</v>
      </c>
      <c r="C29" s="14"/>
      <c r="D29" s="14">
        <v>2</v>
      </c>
      <c r="E29" s="14">
        <v>4</v>
      </c>
    </row>
    <row r="30" spans="1:5" x14ac:dyDescent="0.3">
      <c r="A30" s="13" t="s">
        <v>2</v>
      </c>
      <c r="B30" s="14">
        <v>6</v>
      </c>
      <c r="C30" s="14"/>
      <c r="D30" s="14">
        <v>3</v>
      </c>
      <c r="E30" s="14">
        <v>6</v>
      </c>
    </row>
    <row r="31" spans="1:5" x14ac:dyDescent="0.3">
      <c r="A31" s="15" t="s">
        <v>5</v>
      </c>
      <c r="B31" s="16">
        <v>1</v>
      </c>
      <c r="C31" s="16"/>
      <c r="D31" s="16">
        <v>2</v>
      </c>
      <c r="E31" s="16">
        <v>4</v>
      </c>
    </row>
    <row r="32" spans="1:5" x14ac:dyDescent="0.3">
      <c r="A32" s="15" t="s">
        <v>5</v>
      </c>
      <c r="B32" s="16">
        <v>2</v>
      </c>
      <c r="C32" s="16"/>
      <c r="D32" s="16">
        <v>3</v>
      </c>
      <c r="E32" s="16">
        <v>6</v>
      </c>
    </row>
    <row r="33" spans="1:5" x14ac:dyDescent="0.3">
      <c r="A33" s="15" t="s">
        <v>5</v>
      </c>
      <c r="B33" s="16">
        <v>3</v>
      </c>
      <c r="C33" s="16"/>
      <c r="D33" s="16">
        <v>3</v>
      </c>
      <c r="E33" s="16">
        <v>6</v>
      </c>
    </row>
    <row r="34" spans="1:5" x14ac:dyDescent="0.3">
      <c r="A34" s="15" t="s">
        <v>5</v>
      </c>
      <c r="B34" s="16">
        <v>4</v>
      </c>
      <c r="C34" s="16"/>
      <c r="D34" s="16">
        <v>2</v>
      </c>
      <c r="E34" s="16">
        <v>4</v>
      </c>
    </row>
    <row r="35" spans="1:5" x14ac:dyDescent="0.3">
      <c r="A35" s="15" t="s">
        <v>5</v>
      </c>
      <c r="B35" s="16">
        <v>5</v>
      </c>
      <c r="C35" s="16"/>
      <c r="D35" s="16">
        <v>4</v>
      </c>
      <c r="E35" s="16">
        <v>8</v>
      </c>
    </row>
    <row r="36" spans="1:5" x14ac:dyDescent="0.3">
      <c r="A36" s="15" t="s">
        <v>5</v>
      </c>
      <c r="B36" s="16">
        <v>6</v>
      </c>
      <c r="C36" s="16"/>
      <c r="D36" s="16">
        <v>3</v>
      </c>
      <c r="E36" s="16">
        <v>6</v>
      </c>
    </row>
    <row r="37" spans="1:5" x14ac:dyDescent="0.3">
      <c r="C37" s="11" t="s">
        <v>13</v>
      </c>
      <c r="D37" s="11">
        <f>SUM(D25:D36)</f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42B3-8F09-42E0-99AA-C05E14248459}">
  <dimension ref="A1:E17"/>
  <sheetViews>
    <sheetView tabSelected="1" zoomScaleNormal="100" workbookViewId="0">
      <selection activeCell="B4" sqref="B4"/>
    </sheetView>
  </sheetViews>
  <sheetFormatPr defaultColWidth="11.5546875" defaultRowHeight="14.4" x14ac:dyDescent="0.3"/>
  <cols>
    <col min="1" max="1" width="11.44140625" style="10"/>
    <col min="2" max="2" width="101.6640625" style="1" customWidth="1"/>
    <col min="4" max="4" width="11.44140625" style="4"/>
    <col min="5" max="5" width="12.109375" style="7" bestFit="1" customWidth="1"/>
  </cols>
  <sheetData>
    <row r="1" spans="1:5" s="19" customFormat="1" ht="31.2" x14ac:dyDescent="0.6">
      <c r="A1" s="20"/>
      <c r="B1" s="19" t="s">
        <v>19</v>
      </c>
    </row>
    <row r="2" spans="1:5" x14ac:dyDescent="0.3">
      <c r="C2" s="3" t="s">
        <v>14</v>
      </c>
      <c r="D2" s="5" t="s">
        <v>15</v>
      </c>
      <c r="E2" s="6" t="s">
        <v>16</v>
      </c>
    </row>
    <row r="3" spans="1:5" x14ac:dyDescent="0.3">
      <c r="A3" s="10">
        <v>1</v>
      </c>
      <c r="B3" s="2" t="s">
        <v>6</v>
      </c>
      <c r="C3">
        <v>44</v>
      </c>
      <c r="D3" s="22">
        <v>8540</v>
      </c>
      <c r="E3" s="7">
        <f>D3*C3</f>
        <v>375760</v>
      </c>
    </row>
    <row r="4" spans="1:5" ht="144" x14ac:dyDescent="0.3">
      <c r="B4" s="1" t="s">
        <v>24</v>
      </c>
    </row>
    <row r="6" spans="1:5" x14ac:dyDescent="0.3">
      <c r="A6" s="10">
        <v>2</v>
      </c>
      <c r="B6" s="2" t="s">
        <v>7</v>
      </c>
    </row>
    <row r="7" spans="1:5" x14ac:dyDescent="0.3">
      <c r="B7" s="1" t="s">
        <v>10</v>
      </c>
      <c r="C7">
        <v>44</v>
      </c>
      <c r="D7" s="4">
        <v>76</v>
      </c>
      <c r="E7" s="7">
        <f>D7*C7</f>
        <v>3344</v>
      </c>
    </row>
    <row r="8" spans="1:5" x14ac:dyDescent="0.3">
      <c r="A8" s="10">
        <v>3</v>
      </c>
      <c r="B8" s="2" t="s">
        <v>8</v>
      </c>
    </row>
    <row r="9" spans="1:5" x14ac:dyDescent="0.3">
      <c r="B9" s="1" t="s">
        <v>9</v>
      </c>
      <c r="C9">
        <v>44</v>
      </c>
      <c r="D9" s="4">
        <v>120</v>
      </c>
      <c r="E9" s="7">
        <f>D9*C9</f>
        <v>5280</v>
      </c>
    </row>
    <row r="10" spans="1:5" x14ac:dyDescent="0.3">
      <c r="B10" s="2"/>
    </row>
    <row r="12" spans="1:5" x14ac:dyDescent="0.3">
      <c r="A12" s="21"/>
      <c r="B12" s="12" t="s">
        <v>18</v>
      </c>
    </row>
    <row r="14" spans="1:5" x14ac:dyDescent="0.3">
      <c r="A14" s="10">
        <v>1</v>
      </c>
      <c r="B14" s="2" t="s">
        <v>11</v>
      </c>
      <c r="C14">
        <v>44</v>
      </c>
      <c r="E14" s="7">
        <f>D14*C14</f>
        <v>0</v>
      </c>
    </row>
    <row r="15" spans="1:5" ht="155.25" customHeight="1" x14ac:dyDescent="0.3">
      <c r="B15" s="1" t="s">
        <v>25</v>
      </c>
    </row>
    <row r="17" spans="4:5" x14ac:dyDescent="0.3">
      <c r="D17" s="5" t="s">
        <v>17</v>
      </c>
      <c r="E17" s="6">
        <f>SUM(E2:E16)</f>
        <v>384384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0BB8-E9D4-4153-801D-F0D0B4844B90}">
  <dimension ref="A1:E5"/>
  <sheetViews>
    <sheetView zoomScale="115" zoomScaleNormal="115" workbookViewId="0">
      <selection activeCell="B16" sqref="B16"/>
    </sheetView>
  </sheetViews>
  <sheetFormatPr defaultColWidth="11.5546875" defaultRowHeight="14.4" x14ac:dyDescent="0.3"/>
  <cols>
    <col min="1" max="1" width="11.44140625" style="10"/>
    <col min="2" max="2" width="106.44140625" customWidth="1"/>
  </cols>
  <sheetData>
    <row r="1" spans="1:5" ht="31.2" x14ac:dyDescent="0.6">
      <c r="B1" s="19" t="s">
        <v>22</v>
      </c>
    </row>
    <row r="3" spans="1:5" x14ac:dyDescent="0.3">
      <c r="B3" s="1"/>
      <c r="C3" s="3" t="s">
        <v>14</v>
      </c>
      <c r="D3" s="5" t="s">
        <v>15</v>
      </c>
      <c r="E3" s="6" t="s">
        <v>16</v>
      </c>
    </row>
    <row r="4" spans="1:5" x14ac:dyDescent="0.3">
      <c r="A4" s="10">
        <v>1</v>
      </c>
      <c r="B4" s="2" t="s">
        <v>23</v>
      </c>
      <c r="C4">
        <v>22</v>
      </c>
      <c r="D4" s="23">
        <v>4920</v>
      </c>
      <c r="E4" s="7">
        <f>D4*C4</f>
        <v>108240</v>
      </c>
    </row>
    <row r="5" spans="1:5" ht="121.5" customHeight="1" x14ac:dyDescent="0.3">
      <c r="B5" s="1" t="s">
        <v>26</v>
      </c>
      <c r="D5" s="4"/>
      <c r="E5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c099b6-44f0-41a1-9bb0-a618374692ab" xsi:nil="true"/>
    <lcf76f155ced4ddcb4097134ff3c332f xmlns="624d5c92-b0bd-42db-a408-1d42552dfa2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F6D6F9C1F0094283F8AAC0AA44207E" ma:contentTypeVersion="12" ma:contentTypeDescription="Crear nuevo documento." ma:contentTypeScope="" ma:versionID="ce6f704701348a547e127d66135f9759">
  <xsd:schema xmlns:xsd="http://www.w3.org/2001/XMLSchema" xmlns:xs="http://www.w3.org/2001/XMLSchema" xmlns:p="http://schemas.microsoft.com/office/2006/metadata/properties" xmlns:ns2="624d5c92-b0bd-42db-a408-1d42552dfa2f" xmlns:ns3="87c099b6-44f0-41a1-9bb0-a618374692ab" targetNamespace="http://schemas.microsoft.com/office/2006/metadata/properties" ma:root="true" ma:fieldsID="e14dd9caef2a5e2c282c4d5191963940" ns2:_="" ns3:_="">
    <xsd:import namespace="624d5c92-b0bd-42db-a408-1d42552dfa2f"/>
    <xsd:import namespace="87c099b6-44f0-41a1-9bb0-a618374692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d5c92-b0bd-42db-a408-1d42552dfa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81d3f25f-6c0b-44ae-bf05-6ad5618f6a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c099b6-44f0-41a1-9bb0-a618374692a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137b6e-c330-4bd9-b540-8caf6cf50f34}" ma:internalName="TaxCatchAll" ma:showField="CatchAllData" ma:web="87c099b6-44f0-41a1-9bb0-a618374692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98623A-9C81-4B14-A4E4-23DCC5D65B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ED8AFE-09E1-486C-B06A-A3E0ABC65641}">
  <ds:schemaRefs>
    <ds:schemaRef ds:uri="http://schemas.microsoft.com/office/2006/metadata/properties"/>
    <ds:schemaRef ds:uri="http://schemas.microsoft.com/office/infopath/2007/PartnerControls"/>
    <ds:schemaRef ds:uri="87c099b6-44f0-41a1-9bb0-a618374692ab"/>
    <ds:schemaRef ds:uri="624d5c92-b0bd-42db-a408-1d42552dfa2f"/>
  </ds:schemaRefs>
</ds:datastoreItem>
</file>

<file path=customXml/itemProps3.xml><?xml version="1.0" encoding="utf-8"?>
<ds:datastoreItem xmlns:ds="http://schemas.openxmlformats.org/officeDocument/2006/customXml" ds:itemID="{BA6CB0D6-89D8-4EE6-B3CE-CBA9B5A604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4d5c92-b0bd-42db-a408-1d42552dfa2f"/>
    <ds:schemaRef ds:uri="87c099b6-44f0-41a1-9bb0-a618374692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DIPOSICION </vt:lpstr>
      <vt:lpstr>PARTIDAS PODS</vt:lpstr>
      <vt:lpstr>PARTIDA SIDEPODS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Juanes</dc:creator>
  <cp:lastModifiedBy>Yeliz Cosar</cp:lastModifiedBy>
  <dcterms:created xsi:type="dcterms:W3CDTF">2026-03-23T15:53:45Z</dcterms:created>
  <dcterms:modified xsi:type="dcterms:W3CDTF">2026-05-18T11:31:52Z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0x010100CCF6D6F9C1F0094283F8AAC0AA44207E</vt:lpwstr>
  </property>
  <property fmtid="{D5CDD505-2E9C-101B-9397-08002B2CF9AE}" pid="3" name="MediaServiceImageTags">
    <vt:lpwstr/>
  </property>
</Properties>
</file>