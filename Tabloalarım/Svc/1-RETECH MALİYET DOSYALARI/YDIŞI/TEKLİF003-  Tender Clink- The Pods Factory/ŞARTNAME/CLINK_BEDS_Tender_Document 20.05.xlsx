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1-RETECH MALİYET DOSYALARI\YDIŞI\TEKLİF003-  Tender Clink- The Pods Factory\ŞARTNAME\"/>
    </mc:Choice>
  </mc:AlternateContent>
  <xr:revisionPtr revIDLastSave="0" documentId="8_{1BCD6000-8281-422A-81CC-EE96339F005E}" xr6:coauthVersionLast="47" xr6:coauthVersionMax="47" xr10:uidLastSave="{00000000-0000-0000-0000-000000000000}"/>
  <bookViews>
    <workbookView xWindow="-108" yWindow="-108" windowWidth="23256" windowHeight="12456" tabRatio="500" xr2:uid="{00000000-000D-0000-FFFF-FFFF00000000}"/>
  </bookViews>
  <sheets>
    <sheet name="Tender Document" sheetId="1" r:id="rId1"/>
  </sheets>
  <definedNames>
    <definedName name="_xlnm.Print_Area" localSheetId="0">'Tender Document'!$A$20:$I$63</definedName>
    <definedName name="_xlnm.Print_Titles" localSheetId="0">'Tender Document'!$20:$20</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H39" i="1" l="1"/>
  <c r="G40" i="1"/>
  <c r="G38" i="1" s="1"/>
  <c r="H38" i="1" s="1"/>
  <c r="H37" i="1"/>
  <c r="G36" i="1"/>
  <c r="G27" i="1"/>
  <c r="G23" i="1"/>
  <c r="H59" i="1"/>
  <c r="H58" i="1" l="1"/>
  <c r="H56" i="1"/>
  <c r="H55" i="1"/>
  <c r="H54" i="1"/>
  <c r="H53" i="1"/>
  <c r="H52" i="1"/>
  <c r="H51" i="1"/>
  <c r="H50" i="1"/>
  <c r="H49" i="1"/>
  <c r="H48" i="1"/>
  <c r="H47" i="1"/>
  <c r="H46" i="1"/>
  <c r="H45" i="1"/>
  <c r="H44" i="1"/>
  <c r="H43" i="1"/>
  <c r="H42" i="1"/>
  <c r="H41" i="1"/>
  <c r="H35" i="1"/>
  <c r="H34" i="1"/>
  <c r="H33" i="1"/>
  <c r="H32" i="1"/>
  <c r="H30" i="1"/>
  <c r="H29" i="1"/>
  <c r="H28" i="1"/>
  <c r="H27" i="1"/>
  <c r="H26" i="1"/>
  <c r="H25" i="1"/>
  <c r="H24" i="1"/>
  <c r="H23" i="1"/>
  <c r="H22" i="1"/>
</calcChain>
</file>

<file path=xl/sharedStrings.xml><?xml version="1.0" encoding="utf-8"?>
<sst xmlns="http://schemas.openxmlformats.org/spreadsheetml/2006/main" count="214" uniqueCount="149">
  <si>
    <t>Tender Document</t>
  </si>
  <si>
    <t>Project: CLINK BEDS</t>
  </si>
  <si>
    <t>Date</t>
  </si>
  <si>
    <t>04.05.26</t>
  </si>
  <si>
    <t>01 TENDER DOCUMENT</t>
  </si>
  <si>
    <t>Author</t>
  </si>
  <si>
    <t>S. Jaensch / A. Alzeyat</t>
  </si>
  <si>
    <t>(Specification &amp; Cost Overview)</t>
  </si>
  <si>
    <t>For</t>
  </si>
  <si>
    <t>CLINK HOSTELS</t>
  </si>
  <si>
    <t>General description</t>
  </si>
  <si>
    <t>* All items must include delivery, installation, assembly and, if necessary, disposal of inventory. Existing building elements are to be protected during the construction phase, as well as traffic routes, which serve the common use in the house (corridors, staircase, elevators). The noise is to be reduced at any time to a minimum and neighbors, as well as the additional janitor should be informed about the work in the house.</t>
  </si>
  <si>
    <t>* Production, Delivery and Installation of custom-made beds including suitable certification incl. 1 pc. mock up bunk bed. All used materials must be durable, stable, washable and scratch-resistant (see technical prelims and material specifications). All materials must be approved prior to production by client. Equal materials and products to the spec attached can be proposed, a sample needs to be provided and approved.</t>
  </si>
  <si>
    <t>* All services and products must be checked in advance for correct execution on site. If there are any concerns, these must be reported immediately to the responsible project manager. If the lead product is not available, equivalent proposals are to be submitted to the project manager, stating the manufacturer and the item number, and approved in advance.</t>
  </si>
  <si>
    <t>* Please check the room layouts before starting your work. The contractor has to produce fully dimensioned shop drawings prior to the start of the contract and they have to be approved by the Investor/client.</t>
  </si>
  <si>
    <t>Please note that the bunk beds need to come in different versions:</t>
  </si>
  <si>
    <t>* mirrored / not mirrored</t>
  </si>
  <si>
    <t>* with cut-outs for switches and sockets</t>
  </si>
  <si>
    <t>* with back panel for 'freestanding' versions</t>
  </si>
  <si>
    <t>* smaller sizes etc.</t>
  </si>
  <si>
    <t>See tender description below:</t>
  </si>
  <si>
    <t>Pos.</t>
  </si>
  <si>
    <t>Spec. no.</t>
  </si>
  <si>
    <t>Description</t>
  </si>
  <si>
    <t>Plandescription</t>
  </si>
  <si>
    <t>Type of amount</t>
  </si>
  <si>
    <t>Quantity in TOTAL</t>
  </si>
  <si>
    <t>Unit price (net EUR)</t>
  </si>
  <si>
    <t>Total price (net EUR)</t>
  </si>
  <si>
    <t>Notes</t>
  </si>
  <si>
    <t>Beds</t>
  </si>
  <si>
    <t>01</t>
  </si>
  <si>
    <t>F-DB 01</t>
  </si>
  <si>
    <t>Double Bed - Type 1
size: 142,5 x 204,1 x H110,5cm
stand alone metal bed frame with height adjustable feet
perforated metal on top for ventilation, panels and features as per description below, Rubber tape to assure position of mattress
powder coated Frame - Grey - RAL 7047 (Final RAL Colour TBC by Clink)
colour: Panels grey - RAL 7044 (Final RAL Colour TBC by Clink)</t>
  </si>
  <si>
    <t>CLINK_78_DOUBLE BED - DB1 GA</t>
  </si>
  <si>
    <t>pc</t>
  </si>
  <si>
    <t>04</t>
  </si>
  <si>
    <t>F-BB-2-A</t>
  </si>
  <si>
    <t>Bunk bed - Type 2-A - Single-Sided Access (Long Side)
size: 101 x 205,6 x H241,6cm
stand alone metal bed frame with height adjustable feet, panels and features as per description below
colour:
Panels grey - RAL 7044 (Final RAL Colour TBC by Clink)
Metal frame grey - RAL 7047 (Final RAL Colour TBC by Clink)</t>
  </si>
  <si>
    <t>CLINK_78_BUNKBED 2-A</t>
  </si>
  <si>
    <t>06</t>
  </si>
  <si>
    <t>F-BB-2-C1</t>
  </si>
  <si>
    <t>Bunk bed - Type 2-C1 - Single-Sided Access (Short Side - Shared Ladder)
size: 101 x 205,6 x H241,6cm
stand alone metal bed frame with height adjustable feet, panels and features as per description below
colour:
Panels grey - RAL 7044 (Final RAL Colour TBC by Clink)
Metal frame grey - RAL 7047 (Final RAL Colour TBC by Clink)</t>
  </si>
  <si>
    <t>CLINK_78_BUNKBED 2-C1</t>
  </si>
  <si>
    <t>07</t>
  </si>
  <si>
    <t>F-BB-2-C2</t>
  </si>
  <si>
    <t>Bunk bed - Type 2-C2 - Single-Sided Access (Short Side - Individual Ladder)
size: 101 x 205,6 x H241,6cm
stand alone metal bed frame with height adjustable feet, panels and features as per description below
colour:
Panels grey - RAL 7044 (Final RAL Colour TBC by Clink)
Metal frame grey - RAL 7047 (Final RAL Colour TBC by Clink)</t>
  </si>
  <si>
    <t>CLINK_78_BUNKBED 2-C2</t>
  </si>
  <si>
    <t>08</t>
  </si>
  <si>
    <t>F-P-2-P</t>
  </si>
  <si>
    <t>POD - Type 2-P - Single-Sided Access (Short Side - Individual Ladder)
size: 102,2 x 222 x H259,3cm
stand alone metal bed frame with height adjustable feet, panels and features as per description below
colour:
Panels grey - RAL 7044 (Final RAL Colour TBC by Clink)
Metal frame grey - RAL 7047 (Final RAL Colour TBC by Clink)</t>
  </si>
  <si>
    <t>CLINK_78_POD 2-P</t>
  </si>
  <si>
    <t>09</t>
  </si>
  <si>
    <t>F-BB-3-A</t>
  </si>
  <si>
    <t>Triple Bunk bed - Type 3-A - Single-Sided Access (Long Side)
size: 101 x 205,6 x H290,1cm
stand alone metal bed frame with height adjustable feet, panels and features as per description below
colour:
Panels grey - RAL 7044 (Final RAL Colour TBC by Clink)
Metal frame grey - RAL 7047 (Final RAL Colour TBC by Clink)</t>
  </si>
  <si>
    <t>CLINK_78_BUNKBED 3-A</t>
  </si>
  <si>
    <t>10</t>
  </si>
  <si>
    <t>F-BB-3-B</t>
  </si>
  <si>
    <t>Triple Bunk bed - Type 3-B - Two-Sided Access
size: 101 x 205,6 x H290,1cm
stand alone metal bed frame with height adjustable feet, panels and features as per description below
colour:
Panels grey - RAL 7044 (Final RAL Colour TBC by Clink)
Metal frame grey - RAL 7047 (Final RAL Colour TBC by Clink)</t>
  </si>
  <si>
    <t>CLINK_78_BUNKBED 3-B</t>
  </si>
  <si>
    <t>11</t>
  </si>
  <si>
    <t>F-PANEL-01</t>
  </si>
  <si>
    <t>Bunk bed - Additional panel
*long bed side
panel same as privacy board to close sides
colour:
Panels grey - RAL 7044 (Final RAL Colour TBC by Clink)
Metal frame grey - RAL 7048 (Final RAL Colour TBC by Clink)</t>
  </si>
  <si>
    <t>size as per plan</t>
  </si>
  <si>
    <t>TBC</t>
  </si>
  <si>
    <t>*Please double check quantities</t>
  </si>
  <si>
    <t>12</t>
  </si>
  <si>
    <t>F-LK-01</t>
  </si>
  <si>
    <t>Under Bunkbeds Lockers
panel same as privacy board to close sides
colour:
Panels grey - RAL 7044 (Final RAL Colour TBC by Clink)
Metal frame grey - RAL 7048 (Final RAL Colour TBC by Clink)</t>
  </si>
  <si>
    <t>Show split of costs per bunk bed here:</t>
  </si>
  <si>
    <t>1</t>
  </si>
  <si>
    <t>SS-F01</t>
  </si>
  <si>
    <t>DB (Double Bed) - Base
Four squared tube as per the drawings
powder coated metal
semi gloss finish
colour: grey RAL 7047 (Final RAL Colour TBC by Clink)
*Please specifiy the metal you propose to use!</t>
  </si>
  <si>
    <t>Spec Sheet and materials
+ DRAWINGS</t>
  </si>
  <si>
    <t>SS-F02</t>
  </si>
  <si>
    <t>Type 2 (Bunkbed) - Metalframe &amp; handles
Four squared tube 3,5x3,5cm
powder coated metal
semi gloss finish
colour: grey RAL 7047 (Final RAL Colour TBC by Clink)
*Please specifiy the metal you propose to use!</t>
  </si>
  <si>
    <t>2</t>
  </si>
  <si>
    <t>SS-F03</t>
  </si>
  <si>
    <t>Type 2P (POD) - Metalframe &amp; handles
Four squared tube 3,5x3,5cm
powder coated metal
semi gloss finish
colour: grey RAL 7047 (Final RAL Colour TBC by Clink)
*Please specifiy the metal you propose to use!</t>
  </si>
  <si>
    <t>SS-F04</t>
  </si>
  <si>
    <t>Type 3 (Triple) - Metalframe &amp; handles
Four squared tube 3,5x3,5cm
powder coated metal
semi gloss finish
colour: grey RAL 7047 (Final RAL Colour TBC by Clink)
*Please specifiy the metal you propose to use!</t>
  </si>
  <si>
    <t>3</t>
  </si>
  <si>
    <t>CC-M01</t>
  </si>
  <si>
    <t>DB, TYPE 2, 2P &amp; 3 - Privacy board and cover boards
Laminated chipboard
supplier: Egger Holzwerkstoffe
article: U 750 taupe grey, RAL 7044, Thickness 18m
(Final RAL Colour TBC by Clink)
*Fire, life and safety regulations to consider:
For Point 3, the fire consultant is stating that the fire rating requirements for FF&amp;E (bunk beds are covered by this) that the Irish Regs follow the UK Regs, which require the bunk beds to have an Ignition Source 5 (Crib 5) Certificate, compliant with BS EN597-1 (Cigarette), EN597-2 (Match) &amp; Crib 5 - BS7177 - we will need to find out about this certification from the manufacturers.
Also we will need to get from the manufacturers the surface-spread-of-flame rating will the timber linings provide.</t>
  </si>
  <si>
    <t>Spec Sheet and materials</t>
  </si>
  <si>
    <t>set</t>
  </si>
  <si>
    <t>4</t>
  </si>
  <si>
    <t>CC-M07</t>
  </si>
  <si>
    <t>Visible edges
Plywood edges</t>
  </si>
  <si>
    <t>4.1</t>
  </si>
  <si>
    <t>Alternative
Privacy board and cover boards
alternative material to propose with similar look and feel
-&gt; Melamine Surface</t>
  </si>
  <si>
    <t>4.2</t>
  </si>
  <si>
    <t>Alternative
Privacy board and cover boards
alternative material to propose with similar look and feel
-&gt; Plywood</t>
  </si>
  <si>
    <t>4.3</t>
  </si>
  <si>
    <t>Alternative
Privacy board and cover boards
alternative material to propose with similar look and feel
-&gt; varnished MDF</t>
  </si>
  <si>
    <t>5</t>
  </si>
  <si>
    <t>EE-L00</t>
  </si>
  <si>
    <t>LED stripes
LED light with light diffuser - LED stripes - 2000 Calvin - Warmwhite
(in Al profile, recessed)
~ 4m per bed / 8m per bunk bed (Final length as per the drawings)</t>
  </si>
  <si>
    <t>*Please double check the drawings</t>
  </si>
  <si>
    <t>6</t>
  </si>
  <si>
    <t>EE-L07</t>
  </si>
  <si>
    <t>Reading light
Aron 16/3240 Wall Lamp Textured Black,
LED 1x3W 3000K 315lm, CL.I, Integrated LED, With switch, Adjustable - 2 pc. per bunkbed/pod</t>
  </si>
  <si>
    <t>7</t>
  </si>
  <si>
    <t>AA-M01</t>
  </si>
  <si>
    <t>Mesh pocket 30x20cm
Mesh pocket 30x20cm frame: white - net: white - 2 pc. per bunk bed
FINAL COLOUR TBC BY CLINK
2 pc. per bunkbed/pod</t>
  </si>
  <si>
    <t>8</t>
  </si>
  <si>
    <t>AA-R01</t>
  </si>
  <si>
    <t>towel holder
stainless steel
powder coated
same colour as metal frame
polished edges for safety reasons
to fit into metal frame size - according to drawing
(Final RAL Colour TBC by Clink)
2 pc. per bunk bed</t>
  </si>
  <si>
    <t>9</t>
  </si>
  <si>
    <t>AA-H01</t>
  </si>
  <si>
    <t>hooks
Hooks - stainless steel powder-coated (art.2326 PB12) - RAL 3020 Red &amp; RAL 4010 Rose
FINAL HOOKS QUANTITY &amp; COLOUR TBC BY CLINK
16 per bunk bed</t>
  </si>
  <si>
    <t>pack</t>
  </si>
  <si>
    <t>AA-S01</t>
  </si>
  <si>
    <t>signage - numbers
SIGNAGE - Numbers - laser-cut acrylic or MDF - thickness 5mm - spray painted - RAL 3020 Red &amp; RAL 4010 Rose - font according to wayfinding signage design
FINAL RAL COLOUR TBC BY CLINK
font according to wayfinding signage design
2 per bunk bed for type 2
3 per bunk bed for type 3 (triple)</t>
  </si>
  <si>
    <t>10,1</t>
  </si>
  <si>
    <t>Alternative
signage - numbers
self-adhesive foil cut printed laminated foil thickness (Final RAL Colour TBC by Clink)
font according to wayfinding signage design
2 per bunk bed for type 2
3 per bunk bed for type 3 (triple)</t>
  </si>
  <si>
    <t>FF-C01</t>
  </si>
  <si>
    <t>Privacy blind
Metal ring curtains with a sturdy/durable pole
Privacy curtain - washable textile - colour: dark grey/anthracite less fold - Almost 1:1 fold factor to open horizontally - fire-retardant fabric
LUNA BLACKOUT by SKOPOS
TEXTURED L15 GUNMETAL
FINAL COLOUR TBC BY CLINK
CHECK DRAWINGS FOR FINAL QUANTITIES AND DIMENSIONS</t>
  </si>
  <si>
    <t>TYPE 2 - CURTAINS PLAN
TYPE 3 - CURTAINS PLAN
PODS - CURTAINS PLAN
SPECS SHEET
Check Drawings for each bunkbed/Pod type</t>
  </si>
  <si>
    <t>EE-S01</t>
  </si>
  <si>
    <t>Socket / USB plug / Switch
Brand: Definity Complete
Supplier: Scolmore.com
- 13A 1 Gang Switched Socket Outlet With Twin Type C USB (4A) Outlets - SFSS595GY
https://scolmore.com/product/SFSS595GY
- 10AX 1 Gang 2 Way Plate Switch - SFSS411GY
https://scolmore.com/product/SFSS411GY
color: SS stainless steel.
Please note: Bunk bed should come as plug &amp; play solution with suitable plug for London/UK. All lighting and electrical solutions, power should be built in and installed prior to delivery by the manufacturer. Power to be clarified with electricians and architects prior to installation</t>
  </si>
  <si>
    <t>Alternative OPTION 2
Socket / USB plug / Switch
Socket / USB C plug / Switch
Brand: Deco
Supplier: Scolmore.com
- 13A 1 Gang Switched Socket Outlet With Twin Type C USB (4A) Outlets - VPSS595GY
https://scolmore.com/product/VPSS595GY
- 10AX 1 Gang 2 Way Plate Switch - VPSS411GY
https://scolmore.com/product/VPSS411GY
color: SS stainless steel.
Please note: Bunk bed should come as plug &amp; play solution with suitable plug for London/UK. All lighting and electrical solutions, power should be built in and installed prior to delivery by the manufacturer. Power to be clarified with electricians and architects prior to installation</t>
  </si>
  <si>
    <t>Alternative OPTION 3
Socket / USB plug / Switch
Brand: Soho Lighting
Supplier: Elesi.com
- Flat Plate 1 Gang USB C+C Socket (13A Socket + 2 USB C 3.1A Ports) - SKU: SS-SH-10-SKT221-BCW
https://www.elesi.com/soho-lighting-brushed-chrome-flat-plate-1-gang-usb-cc-socket-13a-socket-2-usb-c-31a-ports-with-white-insert
- 1 Gang 2 Way 10A Light Switch Wht Ins Screwless
SKU: SS-SH-20-LTS101-BCW
https://www.elesi.com/soho-lighting-brushed-chrome-1-gang-2-way-10a-light-switch-wht-ins-screwless
color: Brushed Chrome
Please note: Bunk bed should come as plug &amp; play solution with suitable plug for London/UK. All lighting and electrical solutions, power should be built in and installed prior to delivery by the manufacturer. Power to be clarified with electricians and architects prior to installation</t>
  </si>
  <si>
    <t>13</t>
  </si>
  <si>
    <t>ME-V01</t>
  </si>
  <si>
    <t>Ventilation system:
Europlast NGA100
(PODS ONLY)</t>
  </si>
  <si>
    <t>14</t>
  </si>
  <si>
    <t>ME-V02</t>
  </si>
  <si>
    <t>Ventilation system:
Vent-Axia VASF100TC
(479088)
(PODS ONLY)</t>
  </si>
  <si>
    <t>15</t>
  </si>
  <si>
    <t>EE-D01</t>
  </si>
  <si>
    <t>Smoke detector optical
(PODS ONLY)</t>
  </si>
  <si>
    <t>16</t>
  </si>
  <si>
    <t>CC-H01</t>
  </si>
  <si>
    <t>Headboard: Fabric Spradling Silvertex Aluminium 122-2101 14-4103 TPX
FINAL COLOUR TBC BY CLINK
(PODS ONLY)</t>
  </si>
  <si>
    <t>17</t>
  </si>
  <si>
    <t>CC-S01</t>
  </si>
  <si>
    <t>Sound insulation material Ewona, 30mm
(PODS ONLY)</t>
  </si>
  <si>
    <t>Mattresses</t>
  </si>
  <si>
    <t>18</t>
  </si>
  <si>
    <t>FF-M01</t>
  </si>
  <si>
    <t>Mattress
90x200x22cm
(Foam Mattress - Fire retardant fabric and foam (Crib 5) - 100gr/m2 polyester - Reinforcement - Cover should be washable on 40 degrees)
FINAL MATTRESS HEIGHT TBC
(18 / 20 / 22) cm
(Bunkbeds, Pods &amp; Triple Bunkbeds)</t>
  </si>
  <si>
    <t>18.1</t>
  </si>
  <si>
    <t>FF-M02</t>
  </si>
  <si>
    <t>Mattress
135x200x22cm
(Foam Mattress - Fire retardant fabric and foam (Crib 5) - 100gr/m2 polyester - Reinforcement - Cover should be washable on 40 degrees)
FINAL MATTRESS HEIGHT TBC
(18 / 20 / 22) cm
(Double Beds Only)</t>
  </si>
  <si>
    <t>TOTAL SUM (net) PRELIMS</t>
  </si>
  <si>
    <t>TOTAL SUM (net) DELIVERY</t>
  </si>
  <si>
    <t>TOTAL SUM (net) INSTALLATION</t>
  </si>
  <si>
    <t>Once the quantity and delivery timeline are
 finalized, the necessary calculations will be carried out by our side and shared with you accordingly.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</si>
</sst>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 €&quot;;\(#,##0.00&quot;) €&quot;;&quot;-€&quot;"/>
  </numFmts>
  <fonts count="14" x14ac:knownFonts="1">
    <font>
      <sz val="11"/>
      <color theme="1"/>
      <name val="Calibri"/>
      <family val="2"/>
      <charset val="1"/>
    </font>
    <font>
      <b/>
      <sz val="20"/>
      <color rgb="FFFFFFFF"/>
      <name val="Arial"/>
      <charset val="1"/>
    </font>
    <font>
      <b/>
      <sz val="12"/>
      <name val="Arial"/>
      <charset val="1"/>
    </font>
    <font>
      <b/>
      <sz val="10"/>
      <name val="Arial"/>
      <charset val="1"/>
    </font>
    <font>
      <sz val="10"/>
      <name val="Arial"/>
      <charset val="1"/>
    </font>
    <font>
      <b/>
      <sz val="14"/>
      <name val="Arial"/>
      <charset val="1"/>
    </font>
    <font>
      <i/>
      <sz val="10"/>
      <name val="Arial"/>
      <charset val="1"/>
    </font>
    <font>
      <b/>
      <i/>
      <sz val="11"/>
      <name val="Arial"/>
      <charset val="1"/>
    </font>
    <font>
      <i/>
      <sz val="9"/>
      <name val="Arial"/>
      <charset val="1"/>
    </font>
    <font>
      <b/>
      <sz val="11"/>
      <color rgb="FFFFFFFF"/>
      <name val="Arial"/>
      <charset val="1"/>
    </font>
    <font>
      <b/>
      <sz val="11"/>
      <name val="Arial"/>
      <charset val="1"/>
    </font>
    <font>
      <b/>
      <i/>
      <sz val="10"/>
      <name val="Arial"/>
      <charset val="1"/>
    </font>
    <font>
      <b/>
      <sz val="10"/>
      <color rgb="FFC00000"/>
      <name val="Arial"/>
      <charset val="1"/>
    </font>
    <font>
      <i/>
      <sz val="10"/>
      <color rgb="FF0070C0"/>
      <name val="Arial"/>
      <charset val="1"/>
    </font>
  </fonts>
  <fills count="6">
    <fill>
      <patternFill patternType="none"/>
    </fill>
    <fill>
      <patternFill patternType="gray125"/>
    </fill>
    <fill>
      <patternFill patternType="solid">
        <fgColor rgb="FF000000"/>
        <bgColor rgb="FF003300"/>
      </patternFill>
    </fill>
    <fill>
      <patternFill patternType="solid">
        <fgColor rgb="FF404040"/>
        <bgColor rgb="FF333300"/>
      </patternFill>
    </fill>
    <fill>
      <patternFill patternType="solid">
        <fgColor rgb="FFD9D9D9"/>
        <bgColor rgb="FFC0C0C0"/>
      </patternFill>
    </fill>
    <fill>
      <patternFill patternType="solid">
        <fgColor rgb="FFF2F2F2"/>
        <bgColor rgb="FFFFFFFF"/>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24">
    <xf numFmtId="0" fontId="0" fillId="0" borderId="0" xfId="0"/>
    <xf numFmtId="0" fontId="3" fillId="0" borderId="0" xfId="0" applyFont="1"/>
    <xf numFmtId="0" fontId="4" fillId="0" borderId="0" xfId="0" applyFont="1"/>
    <xf numFmtId="0" fontId="7" fillId="0" borderId="0" xfId="0" applyFont="1"/>
    <xf numFmtId="0" fontId="9"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4" fillId="0" borderId="1" xfId="0" applyFont="1" applyBorder="1" applyAlignment="1">
      <alignment horizontal="left" vertical="top" wrapText="1"/>
    </xf>
    <xf numFmtId="0" fontId="3" fillId="0" borderId="1" xfId="0" applyFont="1" applyBorder="1" applyAlignment="1">
      <alignment horizontal="center" vertical="center" wrapText="1"/>
    </xf>
    <xf numFmtId="164" fontId="4"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left" vertical="top" wrapText="1"/>
    </xf>
    <xf numFmtId="0" fontId="0" fillId="0" borderId="1" xfId="0" applyBorder="1"/>
    <xf numFmtId="0" fontId="0" fillId="0" borderId="1" xfId="0" applyBorder="1" applyAlignment="1">
      <alignment wrapText="1"/>
    </xf>
    <xf numFmtId="164" fontId="3" fillId="4" borderId="1" xfId="0" applyNumberFormat="1" applyFont="1" applyFill="1" applyBorder="1" applyAlignment="1">
      <alignment horizontal="left" vertical="center"/>
    </xf>
    <xf numFmtId="0" fontId="1" fillId="2" borderId="0" xfId="0" applyFont="1" applyFill="1"/>
    <xf numFmtId="0" fontId="2" fillId="0" borderId="0" xfId="0" applyFont="1"/>
    <xf numFmtId="0" fontId="5" fillId="0" borderId="0" xfId="0" applyFont="1"/>
    <xf numFmtId="0" fontId="6" fillId="0" borderId="0" xfId="0" applyFont="1"/>
    <xf numFmtId="0" fontId="8" fillId="0" borderId="0" xfId="0" applyFont="1" applyAlignment="1">
      <alignment horizontal="left" vertical="top" wrapText="1"/>
    </xf>
    <xf numFmtId="0" fontId="3" fillId="4" borderId="1" xfId="0" applyFont="1" applyFill="1" applyBorder="1" applyAlignment="1">
      <alignment horizontal="left" vertical="center"/>
    </xf>
    <xf numFmtId="0" fontId="11" fillId="0" borderId="0" xfId="0" applyFont="1"/>
    <xf numFmtId="0" fontId="10" fillId="4" borderId="2" xfId="0" applyFont="1" applyFill="1" applyBorder="1"/>
    <xf numFmtId="0" fontId="11" fillId="5" borderId="2"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72"/>
  <sheetViews>
    <sheetView tabSelected="1" zoomScale="85" zoomScaleNormal="85" workbookViewId="0">
      <selection activeCell="A10" sqref="A10:K10"/>
    </sheetView>
  </sheetViews>
  <sheetFormatPr defaultColWidth="8.6640625" defaultRowHeight="14.4" x14ac:dyDescent="0.3"/>
  <cols>
    <col min="1" max="1" width="6" customWidth="1"/>
    <col min="2" max="2" width="12" customWidth="1"/>
    <col min="3" max="3" width="66.21875" customWidth="1"/>
    <col min="4" max="4" width="25" customWidth="1"/>
    <col min="5" max="5" width="14.6640625" customWidth="1"/>
    <col min="6" max="6" width="12" customWidth="1"/>
    <col min="7" max="7" width="14" customWidth="1"/>
    <col min="8" max="8" width="19.88671875" customWidth="1"/>
    <col min="9" max="9" width="41.88671875" bestFit="1" customWidth="1"/>
  </cols>
  <sheetData>
    <row r="1" spans="1:11" ht="34.5" customHeight="1" x14ac:dyDescent="0.4">
      <c r="A1" s="15" t="s">
        <v>0</v>
      </c>
      <c r="B1" s="15"/>
      <c r="C1" s="15"/>
      <c r="D1" s="15"/>
      <c r="E1" s="15"/>
      <c r="F1" s="15"/>
      <c r="G1" s="15"/>
      <c r="H1" s="15"/>
      <c r="I1" s="15"/>
      <c r="J1" s="15"/>
      <c r="K1" s="15"/>
    </row>
    <row r="2" spans="1:11" ht="15.6" x14ac:dyDescent="0.3">
      <c r="A2" s="16" t="s">
        <v>1</v>
      </c>
      <c r="B2" s="16"/>
      <c r="C2" s="16"/>
      <c r="D2" s="16"/>
      <c r="E2" s="16"/>
      <c r="F2" s="16"/>
      <c r="G2" s="1" t="s">
        <v>2</v>
      </c>
      <c r="H2" s="2" t="s">
        <v>3</v>
      </c>
    </row>
    <row r="3" spans="1:11" ht="17.399999999999999" x14ac:dyDescent="0.3">
      <c r="A3" s="17" t="s">
        <v>4</v>
      </c>
      <c r="B3" s="17"/>
      <c r="C3" s="17"/>
      <c r="D3" s="17"/>
      <c r="E3" s="17"/>
      <c r="F3" s="17"/>
      <c r="G3" s="1" t="s">
        <v>5</v>
      </c>
      <c r="H3" s="2" t="s">
        <v>6</v>
      </c>
    </row>
    <row r="4" spans="1:11" x14ac:dyDescent="0.3">
      <c r="A4" s="18" t="s">
        <v>7</v>
      </c>
      <c r="B4" s="18"/>
      <c r="C4" s="18"/>
      <c r="D4" s="18"/>
      <c r="E4" s="18"/>
      <c r="F4" s="18"/>
      <c r="G4" s="1" t="s">
        <v>8</v>
      </c>
      <c r="H4" s="2" t="s">
        <v>9</v>
      </c>
    </row>
    <row r="6" spans="1:11" x14ac:dyDescent="0.3">
      <c r="A6" s="3" t="s">
        <v>10</v>
      </c>
    </row>
    <row r="7" spans="1:11" ht="39" customHeight="1" x14ac:dyDescent="0.3">
      <c r="A7" s="19" t="s">
        <v>11</v>
      </c>
      <c r="B7" s="19"/>
      <c r="C7" s="19"/>
      <c r="D7" s="19"/>
      <c r="E7" s="19"/>
      <c r="F7" s="19"/>
      <c r="G7" s="19"/>
      <c r="H7" s="19"/>
      <c r="I7" s="19"/>
      <c r="J7" s="19"/>
      <c r="K7" s="19"/>
    </row>
    <row r="8" spans="1:11" ht="39.6" customHeight="1" x14ac:dyDescent="0.3">
      <c r="A8" s="19" t="s">
        <v>12</v>
      </c>
      <c r="B8" s="19"/>
      <c r="C8" s="19"/>
      <c r="D8" s="19"/>
      <c r="E8" s="19"/>
      <c r="F8" s="19"/>
      <c r="G8" s="19"/>
      <c r="H8" s="19"/>
      <c r="I8" s="19"/>
      <c r="J8" s="19"/>
      <c r="K8" s="19"/>
    </row>
    <row r="9" spans="1:11" ht="37.799999999999997" customHeight="1" x14ac:dyDescent="0.3">
      <c r="A9" s="19" t="s">
        <v>13</v>
      </c>
      <c r="B9" s="19"/>
      <c r="C9" s="19"/>
      <c r="D9" s="19"/>
      <c r="E9" s="19"/>
      <c r="F9" s="19"/>
      <c r="G9" s="19"/>
      <c r="H9" s="19"/>
      <c r="I9" s="19"/>
      <c r="J9" s="19"/>
      <c r="K9" s="19"/>
    </row>
    <row r="10" spans="1:11" ht="30" customHeight="1" x14ac:dyDescent="0.3">
      <c r="A10" s="19" t="s">
        <v>14</v>
      </c>
      <c r="B10" s="19"/>
      <c r="C10" s="19"/>
      <c r="D10" s="19"/>
      <c r="E10" s="19"/>
      <c r="F10" s="19"/>
      <c r="G10" s="19"/>
      <c r="H10" s="19"/>
      <c r="I10" s="19"/>
      <c r="J10" s="19"/>
      <c r="K10" s="19"/>
    </row>
    <row r="11" spans="1:11" ht="13.8" customHeight="1" x14ac:dyDescent="0.3">
      <c r="A11" s="19"/>
      <c r="B11" s="19"/>
      <c r="C11" s="19"/>
      <c r="D11" s="19"/>
      <c r="E11" s="19"/>
      <c r="F11" s="19"/>
      <c r="G11" s="19"/>
      <c r="H11" s="19"/>
      <c r="I11" s="19"/>
      <c r="J11" s="19"/>
      <c r="K11" s="19"/>
    </row>
    <row r="12" spans="1:11" ht="21" customHeight="1" x14ac:dyDescent="0.3">
      <c r="A12" s="19" t="s">
        <v>15</v>
      </c>
      <c r="B12" s="19"/>
      <c r="C12" s="19"/>
      <c r="D12" s="19"/>
      <c r="E12" s="19"/>
      <c r="F12" s="19"/>
      <c r="G12" s="19"/>
      <c r="H12" s="19"/>
      <c r="I12" s="19"/>
      <c r="J12" s="19"/>
      <c r="K12" s="19"/>
    </row>
    <row r="13" spans="1:11" ht="18.600000000000001" customHeight="1" x14ac:dyDescent="0.3">
      <c r="A13" s="19" t="s">
        <v>16</v>
      </c>
      <c r="B13" s="19"/>
      <c r="C13" s="19"/>
      <c r="D13" s="19"/>
      <c r="E13" s="19"/>
      <c r="F13" s="19"/>
      <c r="G13" s="19"/>
      <c r="H13" s="19"/>
      <c r="I13" s="19"/>
      <c r="J13" s="19"/>
      <c r="K13" s="19"/>
    </row>
    <row r="14" spans="1:11" ht="21.6" customHeight="1" x14ac:dyDescent="0.3">
      <c r="A14" s="19" t="s">
        <v>17</v>
      </c>
      <c r="B14" s="19"/>
      <c r="C14" s="19"/>
      <c r="D14" s="19"/>
      <c r="E14" s="19"/>
      <c r="F14" s="19"/>
      <c r="G14" s="19"/>
      <c r="H14" s="19"/>
      <c r="I14" s="19"/>
      <c r="J14" s="19"/>
      <c r="K14" s="19"/>
    </row>
    <row r="15" spans="1:11" ht="23.4" customHeight="1" x14ac:dyDescent="0.3">
      <c r="A15" s="19" t="s">
        <v>18</v>
      </c>
      <c r="B15" s="19"/>
      <c r="C15" s="19"/>
      <c r="D15" s="19"/>
      <c r="E15" s="19"/>
      <c r="F15" s="19"/>
      <c r="G15" s="19"/>
      <c r="H15" s="19"/>
      <c r="I15" s="19"/>
      <c r="J15" s="19"/>
      <c r="K15" s="19"/>
    </row>
    <row r="16" spans="1:11" ht="20.399999999999999" customHeight="1" x14ac:dyDescent="0.3">
      <c r="A16" s="19" t="s">
        <v>19</v>
      </c>
      <c r="B16" s="19"/>
      <c r="C16" s="19"/>
      <c r="D16" s="19"/>
      <c r="E16" s="19"/>
      <c r="F16" s="19"/>
      <c r="G16" s="19"/>
      <c r="H16" s="19"/>
      <c r="I16" s="19"/>
      <c r="J16" s="19"/>
      <c r="K16" s="19"/>
    </row>
    <row r="17" spans="1:11" x14ac:dyDescent="0.3">
      <c r="A17" s="19"/>
      <c r="B17" s="19"/>
      <c r="C17" s="19"/>
      <c r="D17" s="19"/>
      <c r="E17" s="19"/>
      <c r="F17" s="19"/>
      <c r="G17" s="19"/>
      <c r="H17" s="19"/>
      <c r="I17" s="19"/>
      <c r="J17" s="19"/>
      <c r="K17" s="19"/>
    </row>
    <row r="18" spans="1:11" ht="18" customHeight="1" x14ac:dyDescent="0.3">
      <c r="A18" s="19" t="s">
        <v>20</v>
      </c>
      <c r="B18" s="19"/>
      <c r="C18" s="19"/>
      <c r="D18" s="19"/>
      <c r="E18" s="19"/>
      <c r="F18" s="19"/>
      <c r="G18" s="19"/>
      <c r="H18" s="19"/>
      <c r="I18" s="19"/>
      <c r="J18" s="19"/>
      <c r="K18" s="19"/>
    </row>
    <row r="20" spans="1:11" ht="34.5" customHeight="1" x14ac:dyDescent="0.3">
      <c r="A20" s="4" t="s">
        <v>21</v>
      </c>
      <c r="B20" s="4" t="s">
        <v>22</v>
      </c>
      <c r="C20" s="4" t="s">
        <v>23</v>
      </c>
      <c r="D20" s="4" t="s">
        <v>24</v>
      </c>
      <c r="E20" s="4" t="s">
        <v>25</v>
      </c>
      <c r="F20" s="4" t="s">
        <v>26</v>
      </c>
      <c r="G20" s="4" t="s">
        <v>27</v>
      </c>
      <c r="H20" s="4" t="s">
        <v>28</v>
      </c>
      <c r="I20" s="4" t="s">
        <v>29</v>
      </c>
    </row>
    <row r="21" spans="1:11" x14ac:dyDescent="0.3">
      <c r="A21" s="22" t="s">
        <v>30</v>
      </c>
      <c r="B21" s="22"/>
      <c r="C21" s="22"/>
      <c r="D21" s="22"/>
      <c r="E21" s="22"/>
      <c r="F21" s="22"/>
      <c r="G21" s="22"/>
      <c r="H21" s="22"/>
      <c r="I21" s="22"/>
    </row>
    <row r="22" spans="1:11" ht="103.8" customHeight="1" x14ac:dyDescent="0.3">
      <c r="A22" s="5" t="s">
        <v>31</v>
      </c>
      <c r="B22" s="6" t="s">
        <v>32</v>
      </c>
      <c r="C22" s="7" t="s">
        <v>33</v>
      </c>
      <c r="D22" s="7" t="s">
        <v>34</v>
      </c>
      <c r="E22" s="5" t="s">
        <v>35</v>
      </c>
      <c r="F22" s="8">
        <v>21</v>
      </c>
      <c r="G22" s="9">
        <v>1600</v>
      </c>
      <c r="H22" s="9">
        <f t="shared" ref="H22:H30" si="0">IFERROR(F22*G22,"")</f>
        <v>33600</v>
      </c>
      <c r="I22" s="7"/>
    </row>
    <row r="23" spans="1:11" ht="121.2" customHeight="1" x14ac:dyDescent="0.3">
      <c r="A23" s="5" t="s">
        <v>36</v>
      </c>
      <c r="B23" s="6" t="s">
        <v>37</v>
      </c>
      <c r="C23" s="7" t="s">
        <v>38</v>
      </c>
      <c r="D23" s="7" t="s">
        <v>39</v>
      </c>
      <c r="E23" s="5" t="s">
        <v>35</v>
      </c>
      <c r="F23" s="8">
        <v>26</v>
      </c>
      <c r="G23" s="9">
        <f>G22*2</f>
        <v>3200</v>
      </c>
      <c r="H23" s="9">
        <f t="shared" si="0"/>
        <v>83200</v>
      </c>
      <c r="I23" s="7"/>
    </row>
    <row r="24" spans="1:11" ht="102.6" customHeight="1" x14ac:dyDescent="0.3">
      <c r="A24" s="5" t="s">
        <v>40</v>
      </c>
      <c r="B24" s="6" t="s">
        <v>41</v>
      </c>
      <c r="C24" s="7" t="s">
        <v>42</v>
      </c>
      <c r="D24" s="7" t="s">
        <v>43</v>
      </c>
      <c r="E24" s="5" t="s">
        <v>35</v>
      </c>
      <c r="F24" s="8">
        <v>150</v>
      </c>
      <c r="G24" s="9">
        <v>3200</v>
      </c>
      <c r="H24" s="9">
        <f t="shared" si="0"/>
        <v>480000</v>
      </c>
      <c r="I24" s="7"/>
    </row>
    <row r="25" spans="1:11" ht="94.8" customHeight="1" x14ac:dyDescent="0.3">
      <c r="A25" s="5" t="s">
        <v>44</v>
      </c>
      <c r="B25" s="6" t="s">
        <v>45</v>
      </c>
      <c r="C25" s="7" t="s">
        <v>46</v>
      </c>
      <c r="D25" s="7" t="s">
        <v>47</v>
      </c>
      <c r="E25" s="5" t="s">
        <v>35</v>
      </c>
      <c r="F25" s="8">
        <v>42</v>
      </c>
      <c r="G25" s="9">
        <v>3350</v>
      </c>
      <c r="H25" s="9">
        <f t="shared" si="0"/>
        <v>140700</v>
      </c>
      <c r="I25" s="7"/>
    </row>
    <row r="26" spans="1:11" ht="75" customHeight="1" x14ac:dyDescent="0.3">
      <c r="A26" s="5" t="s">
        <v>48</v>
      </c>
      <c r="B26" s="6" t="s">
        <v>49</v>
      </c>
      <c r="C26" s="7" t="s">
        <v>50</v>
      </c>
      <c r="D26" s="7" t="s">
        <v>51</v>
      </c>
      <c r="E26" s="5" t="s">
        <v>35</v>
      </c>
      <c r="F26" s="8">
        <v>36</v>
      </c>
      <c r="G26" s="9">
        <v>3470</v>
      </c>
      <c r="H26" s="9">
        <f t="shared" si="0"/>
        <v>124920</v>
      </c>
      <c r="I26" s="7"/>
    </row>
    <row r="27" spans="1:11" ht="103.8" customHeight="1" x14ac:dyDescent="0.3">
      <c r="A27" s="5" t="s">
        <v>52</v>
      </c>
      <c r="B27" s="6" t="s">
        <v>53</v>
      </c>
      <c r="C27" s="7" t="s">
        <v>54</v>
      </c>
      <c r="D27" s="7" t="s">
        <v>55</v>
      </c>
      <c r="E27" s="5" t="s">
        <v>35</v>
      </c>
      <c r="F27" s="8">
        <v>13</v>
      </c>
      <c r="G27" s="9">
        <f>G22*3</f>
        <v>4800</v>
      </c>
      <c r="H27" s="9">
        <f t="shared" si="0"/>
        <v>62400</v>
      </c>
      <c r="I27" s="7"/>
    </row>
    <row r="28" spans="1:11" ht="110.4" customHeight="1" x14ac:dyDescent="0.3">
      <c r="A28" s="5" t="s">
        <v>56</v>
      </c>
      <c r="B28" s="6" t="s">
        <v>57</v>
      </c>
      <c r="C28" s="7" t="s">
        <v>58</v>
      </c>
      <c r="D28" s="7" t="s">
        <v>59</v>
      </c>
      <c r="E28" s="5" t="s">
        <v>35</v>
      </c>
      <c r="F28" s="8">
        <v>8</v>
      </c>
      <c r="G28" s="9">
        <v>4950</v>
      </c>
      <c r="H28" s="9">
        <f t="shared" si="0"/>
        <v>39600</v>
      </c>
      <c r="I28" s="7"/>
    </row>
    <row r="29" spans="1:11" ht="90" customHeight="1" x14ac:dyDescent="0.3">
      <c r="A29" s="5" t="s">
        <v>60</v>
      </c>
      <c r="B29" s="6" t="s">
        <v>61</v>
      </c>
      <c r="C29" s="7" t="s">
        <v>62</v>
      </c>
      <c r="D29" s="7" t="s">
        <v>63</v>
      </c>
      <c r="E29" s="5" t="s">
        <v>35</v>
      </c>
      <c r="F29" s="10" t="s">
        <v>64</v>
      </c>
      <c r="G29" s="9"/>
      <c r="H29" s="9" t="str">
        <f t="shared" si="0"/>
        <v/>
      </c>
      <c r="I29" s="11" t="s">
        <v>65</v>
      </c>
    </row>
    <row r="30" spans="1:11" ht="75" customHeight="1" x14ac:dyDescent="0.3">
      <c r="A30" s="5" t="s">
        <v>66</v>
      </c>
      <c r="B30" s="6" t="s">
        <v>67</v>
      </c>
      <c r="C30" s="7" t="s">
        <v>68</v>
      </c>
      <c r="D30" s="7" t="s">
        <v>63</v>
      </c>
      <c r="E30" s="5" t="s">
        <v>35</v>
      </c>
      <c r="F30" s="8">
        <v>280</v>
      </c>
      <c r="G30" s="9">
        <v>330</v>
      </c>
      <c r="H30" s="9">
        <f t="shared" si="0"/>
        <v>92400</v>
      </c>
      <c r="I30" s="7"/>
    </row>
    <row r="31" spans="1:11" x14ac:dyDescent="0.3">
      <c r="A31" s="23" t="s">
        <v>69</v>
      </c>
      <c r="B31" s="23"/>
      <c r="C31" s="23"/>
      <c r="D31" s="23"/>
      <c r="E31" s="23"/>
      <c r="F31" s="23"/>
      <c r="G31" s="23"/>
      <c r="H31" s="23"/>
      <c r="I31" s="23"/>
    </row>
    <row r="32" spans="1:11" ht="91.8" customHeight="1" x14ac:dyDescent="0.3">
      <c r="A32" s="5" t="s">
        <v>70</v>
      </c>
      <c r="B32" s="6" t="s">
        <v>71</v>
      </c>
      <c r="C32" s="7" t="s">
        <v>72</v>
      </c>
      <c r="D32" s="7" t="s">
        <v>73</v>
      </c>
      <c r="E32" s="5" t="s">
        <v>35</v>
      </c>
      <c r="F32" s="8">
        <v>21</v>
      </c>
      <c r="G32" s="9">
        <v>200</v>
      </c>
      <c r="H32" s="9">
        <f t="shared" ref="H32:H56" si="1">IFERROR(F32*G32,"")</f>
        <v>4200</v>
      </c>
      <c r="I32" s="7"/>
    </row>
    <row r="33" spans="1:9" ht="75" customHeight="1" x14ac:dyDescent="0.3">
      <c r="A33" s="5" t="s">
        <v>70</v>
      </c>
      <c r="B33" s="6" t="s">
        <v>74</v>
      </c>
      <c r="C33" s="7" t="s">
        <v>75</v>
      </c>
      <c r="D33" s="7" t="s">
        <v>73</v>
      </c>
      <c r="E33" s="5" t="s">
        <v>35</v>
      </c>
      <c r="F33" s="8">
        <v>218</v>
      </c>
      <c r="G33" s="9">
        <v>80</v>
      </c>
      <c r="H33" s="9">
        <f t="shared" si="1"/>
        <v>17440</v>
      </c>
      <c r="I33" s="7"/>
    </row>
    <row r="34" spans="1:9" ht="75" customHeight="1" x14ac:dyDescent="0.3">
      <c r="A34" s="5" t="s">
        <v>76</v>
      </c>
      <c r="B34" s="6" t="s">
        <v>77</v>
      </c>
      <c r="C34" s="7" t="s">
        <v>78</v>
      </c>
      <c r="D34" s="7" t="s">
        <v>73</v>
      </c>
      <c r="E34" s="5" t="s">
        <v>35</v>
      </c>
      <c r="F34" s="8">
        <v>36</v>
      </c>
      <c r="G34" s="9">
        <v>80</v>
      </c>
      <c r="H34" s="9">
        <f t="shared" si="1"/>
        <v>2880</v>
      </c>
      <c r="I34" s="7"/>
    </row>
    <row r="35" spans="1:9" ht="92.4" customHeight="1" x14ac:dyDescent="0.3">
      <c r="A35" s="5" t="s">
        <v>76</v>
      </c>
      <c r="B35" s="6" t="s">
        <v>79</v>
      </c>
      <c r="C35" s="7" t="s">
        <v>80</v>
      </c>
      <c r="D35" s="7" t="s">
        <v>73</v>
      </c>
      <c r="E35" s="5" t="s">
        <v>35</v>
      </c>
      <c r="F35" s="8">
        <v>21</v>
      </c>
      <c r="G35" s="9">
        <v>80</v>
      </c>
      <c r="H35" s="9">
        <f t="shared" si="1"/>
        <v>1680</v>
      </c>
      <c r="I35" s="7"/>
    </row>
    <row r="36" spans="1:9" ht="166.8" customHeight="1" x14ac:dyDescent="0.3">
      <c r="A36" s="5" t="s">
        <v>81</v>
      </c>
      <c r="B36" s="6" t="s">
        <v>82</v>
      </c>
      <c r="C36" s="7" t="s">
        <v>83</v>
      </c>
      <c r="D36" s="7" t="s">
        <v>84</v>
      </c>
      <c r="E36" s="5" t="s">
        <v>85</v>
      </c>
      <c r="F36" s="8">
        <v>296</v>
      </c>
      <c r="G36" s="9">
        <f>H36/F36</f>
        <v>1439.1891891891892</v>
      </c>
      <c r="H36" s="9">
        <v>426000</v>
      </c>
      <c r="I36" s="7"/>
    </row>
    <row r="37" spans="1:9" ht="79.8" customHeight="1" x14ac:dyDescent="0.3">
      <c r="A37" s="5" t="s">
        <v>86</v>
      </c>
      <c r="B37" s="6" t="s">
        <v>87</v>
      </c>
      <c r="C37" s="7" t="s">
        <v>88</v>
      </c>
      <c r="D37" s="7" t="s">
        <v>84</v>
      </c>
      <c r="E37" s="5" t="s">
        <v>85</v>
      </c>
      <c r="F37" s="8">
        <v>296</v>
      </c>
      <c r="G37" s="9"/>
      <c r="H37" s="9">
        <f t="shared" si="1"/>
        <v>0</v>
      </c>
      <c r="I37" s="7"/>
    </row>
    <row r="38" spans="1:9" ht="87" customHeight="1" x14ac:dyDescent="0.3">
      <c r="A38" s="5" t="s">
        <v>89</v>
      </c>
      <c r="B38" s="6"/>
      <c r="C38" s="7" t="s">
        <v>90</v>
      </c>
      <c r="D38" s="7" t="s">
        <v>84</v>
      </c>
      <c r="E38" s="5" t="s">
        <v>85</v>
      </c>
      <c r="F38" s="8">
        <v>296</v>
      </c>
      <c r="G38" s="9">
        <f>G40*2</f>
        <v>756.75675675675677</v>
      </c>
      <c r="H38" s="9">
        <f>IFERROR(F38*G38,"")</f>
        <v>224000</v>
      </c>
      <c r="I38" s="7"/>
    </row>
    <row r="39" spans="1:9" ht="75" customHeight="1" x14ac:dyDescent="0.3">
      <c r="A39" s="5" t="s">
        <v>91</v>
      </c>
      <c r="B39" s="6"/>
      <c r="C39" s="7" t="s">
        <v>92</v>
      </c>
      <c r="D39" s="7" t="s">
        <v>84</v>
      </c>
      <c r="E39" s="5" t="s">
        <v>85</v>
      </c>
      <c r="F39" s="8">
        <v>296</v>
      </c>
      <c r="G39" s="9">
        <v>1090</v>
      </c>
      <c r="H39" s="9">
        <f>IFERROR(F39*G39,"")</f>
        <v>322640</v>
      </c>
      <c r="I39" s="7"/>
    </row>
    <row r="40" spans="1:9" ht="75" customHeight="1" x14ac:dyDescent="0.3">
      <c r="A40" s="5" t="s">
        <v>93</v>
      </c>
      <c r="B40" s="6"/>
      <c r="C40" s="7" t="s">
        <v>94</v>
      </c>
      <c r="D40" s="7" t="s">
        <v>84</v>
      </c>
      <c r="E40" s="5" t="s">
        <v>85</v>
      </c>
      <c r="F40" s="8">
        <v>296</v>
      </c>
      <c r="G40" s="9">
        <f>H40/F40</f>
        <v>378.37837837837839</v>
      </c>
      <c r="H40" s="9">
        <v>112000</v>
      </c>
      <c r="I40" s="7"/>
    </row>
    <row r="41" spans="1:9" ht="75" customHeight="1" x14ac:dyDescent="0.3">
      <c r="A41" s="5" t="s">
        <v>95</v>
      </c>
      <c r="B41" s="6" t="s">
        <v>96</v>
      </c>
      <c r="C41" s="7" t="s">
        <v>97</v>
      </c>
      <c r="D41" s="7" t="s">
        <v>84</v>
      </c>
      <c r="E41" s="5" t="s">
        <v>85</v>
      </c>
      <c r="F41" s="8"/>
      <c r="G41" s="9"/>
      <c r="H41" s="9">
        <f t="shared" si="1"/>
        <v>0</v>
      </c>
      <c r="I41" s="11" t="s">
        <v>98</v>
      </c>
    </row>
    <row r="42" spans="1:9" ht="75" customHeight="1" x14ac:dyDescent="0.3">
      <c r="A42" s="5" t="s">
        <v>99</v>
      </c>
      <c r="B42" s="6" t="s">
        <v>100</v>
      </c>
      <c r="C42" s="7" t="s">
        <v>101</v>
      </c>
      <c r="D42" s="7" t="s">
        <v>84</v>
      </c>
      <c r="E42" s="5" t="s">
        <v>35</v>
      </c>
      <c r="F42" s="8">
        <v>571</v>
      </c>
      <c r="G42" s="9">
        <v>26</v>
      </c>
      <c r="H42" s="9">
        <f t="shared" si="1"/>
        <v>14846</v>
      </c>
      <c r="I42" s="7"/>
    </row>
    <row r="43" spans="1:9" ht="75" customHeight="1" x14ac:dyDescent="0.3">
      <c r="A43" s="5" t="s">
        <v>102</v>
      </c>
      <c r="B43" s="6" t="s">
        <v>103</v>
      </c>
      <c r="C43" s="7" t="s">
        <v>104</v>
      </c>
      <c r="D43" s="7" t="s">
        <v>84</v>
      </c>
      <c r="E43" s="5" t="s">
        <v>35</v>
      </c>
      <c r="F43" s="8">
        <v>571</v>
      </c>
      <c r="G43" s="9">
        <v>3</v>
      </c>
      <c r="H43" s="9">
        <f t="shared" si="1"/>
        <v>1713</v>
      </c>
      <c r="I43" s="7"/>
    </row>
    <row r="44" spans="1:9" ht="75" customHeight="1" x14ac:dyDescent="0.3">
      <c r="A44" s="5" t="s">
        <v>105</v>
      </c>
      <c r="B44" s="6" t="s">
        <v>106</v>
      </c>
      <c r="C44" s="7" t="s">
        <v>107</v>
      </c>
      <c r="D44" s="7" t="s">
        <v>84</v>
      </c>
      <c r="E44" s="5" t="s">
        <v>35</v>
      </c>
      <c r="F44" s="8">
        <v>571</v>
      </c>
      <c r="G44" s="9">
        <v>8</v>
      </c>
      <c r="H44" s="9">
        <f t="shared" si="1"/>
        <v>4568</v>
      </c>
      <c r="I44" s="7"/>
    </row>
    <row r="45" spans="1:9" ht="75" customHeight="1" x14ac:dyDescent="0.3">
      <c r="A45" s="5" t="s">
        <v>108</v>
      </c>
      <c r="B45" s="6" t="s">
        <v>109</v>
      </c>
      <c r="C45" s="7" t="s">
        <v>110</v>
      </c>
      <c r="D45" s="7" t="s">
        <v>84</v>
      </c>
      <c r="E45" s="5" t="s">
        <v>111</v>
      </c>
      <c r="F45" s="8">
        <v>571</v>
      </c>
      <c r="G45" s="9">
        <v>2.2000000000000002</v>
      </c>
      <c r="H45" s="9">
        <f t="shared" si="1"/>
        <v>1256.2</v>
      </c>
      <c r="I45" s="7"/>
    </row>
    <row r="46" spans="1:9" ht="75" customHeight="1" x14ac:dyDescent="0.3">
      <c r="A46" s="5" t="s">
        <v>56</v>
      </c>
      <c r="B46" s="6" t="s">
        <v>112</v>
      </c>
      <c r="C46" s="7" t="s">
        <v>113</v>
      </c>
      <c r="D46" s="7" t="s">
        <v>84</v>
      </c>
      <c r="E46" s="5" t="s">
        <v>85</v>
      </c>
      <c r="F46" s="8">
        <v>571</v>
      </c>
      <c r="G46" s="9">
        <v>1.4</v>
      </c>
      <c r="H46" s="9">
        <f t="shared" si="1"/>
        <v>799.4</v>
      </c>
      <c r="I46" s="7"/>
    </row>
    <row r="47" spans="1:9" ht="89.4" customHeight="1" x14ac:dyDescent="0.3">
      <c r="A47" s="5" t="s">
        <v>114</v>
      </c>
      <c r="B47" s="6"/>
      <c r="C47" s="7" t="s">
        <v>115</v>
      </c>
      <c r="D47" s="7" t="s">
        <v>84</v>
      </c>
      <c r="E47" s="5" t="s">
        <v>85</v>
      </c>
      <c r="F47" s="8">
        <v>571</v>
      </c>
      <c r="G47" s="9">
        <v>1</v>
      </c>
      <c r="H47" s="9">
        <f t="shared" si="1"/>
        <v>571</v>
      </c>
      <c r="I47" s="7"/>
    </row>
    <row r="48" spans="1:9" ht="75" customHeight="1" x14ac:dyDescent="0.3">
      <c r="A48" s="5" t="s">
        <v>60</v>
      </c>
      <c r="B48" s="6" t="s">
        <v>116</v>
      </c>
      <c r="C48" s="7" t="s">
        <v>117</v>
      </c>
      <c r="D48" s="7" t="s">
        <v>118</v>
      </c>
      <c r="E48" s="5" t="s">
        <v>85</v>
      </c>
      <c r="F48" s="8"/>
      <c r="G48" s="9"/>
      <c r="H48" s="9">
        <f t="shared" si="1"/>
        <v>0</v>
      </c>
      <c r="I48" s="11" t="s">
        <v>98</v>
      </c>
    </row>
    <row r="49" spans="1:9" ht="159.75" customHeight="1" x14ac:dyDescent="0.3">
      <c r="A49" s="5" t="s">
        <v>66</v>
      </c>
      <c r="B49" s="6" t="s">
        <v>119</v>
      </c>
      <c r="C49" s="7" t="s">
        <v>120</v>
      </c>
      <c r="D49" s="7" t="s">
        <v>84</v>
      </c>
      <c r="E49" s="5" t="s">
        <v>111</v>
      </c>
      <c r="F49" s="8">
        <v>571</v>
      </c>
      <c r="G49" s="9">
        <v>44</v>
      </c>
      <c r="H49" s="9">
        <f t="shared" si="1"/>
        <v>25124</v>
      </c>
      <c r="I49" s="7"/>
    </row>
    <row r="50" spans="1:9" ht="159.75" customHeight="1" x14ac:dyDescent="0.3">
      <c r="A50" s="5"/>
      <c r="B50" s="6"/>
      <c r="C50" s="7" t="s">
        <v>121</v>
      </c>
      <c r="D50" s="7" t="s">
        <v>84</v>
      </c>
      <c r="E50" s="5" t="s">
        <v>111</v>
      </c>
      <c r="F50" s="8">
        <v>571</v>
      </c>
      <c r="G50" s="9">
        <v>35</v>
      </c>
      <c r="H50" s="9">
        <f t="shared" si="1"/>
        <v>19985</v>
      </c>
      <c r="I50" s="7"/>
    </row>
    <row r="51" spans="1:9" ht="180" customHeight="1" x14ac:dyDescent="0.3">
      <c r="A51" s="5"/>
      <c r="B51" s="6"/>
      <c r="C51" s="7" t="s">
        <v>122</v>
      </c>
      <c r="D51" s="7" t="s">
        <v>84</v>
      </c>
      <c r="E51" s="5" t="s">
        <v>111</v>
      </c>
      <c r="F51" s="8">
        <v>571</v>
      </c>
      <c r="G51" s="9">
        <v>62</v>
      </c>
      <c r="H51" s="9">
        <f t="shared" si="1"/>
        <v>35402</v>
      </c>
      <c r="I51" s="7"/>
    </row>
    <row r="52" spans="1:9" ht="75" customHeight="1" x14ac:dyDescent="0.3">
      <c r="A52" s="5" t="s">
        <v>123</v>
      </c>
      <c r="B52" s="6" t="s">
        <v>124</v>
      </c>
      <c r="C52" s="7" t="s">
        <v>125</v>
      </c>
      <c r="D52" s="7" t="s">
        <v>84</v>
      </c>
      <c r="E52" s="5" t="s">
        <v>35</v>
      </c>
      <c r="F52" s="8">
        <v>72</v>
      </c>
      <c r="G52" s="9">
        <v>6</v>
      </c>
      <c r="H52" s="9">
        <f t="shared" si="1"/>
        <v>432</v>
      </c>
      <c r="I52" s="7"/>
    </row>
    <row r="53" spans="1:9" ht="75" customHeight="1" x14ac:dyDescent="0.3">
      <c r="A53" s="5" t="s">
        <v>126</v>
      </c>
      <c r="B53" s="6" t="s">
        <v>127</v>
      </c>
      <c r="C53" s="7" t="s">
        <v>128</v>
      </c>
      <c r="D53" s="7" t="s">
        <v>84</v>
      </c>
      <c r="E53" s="5" t="s">
        <v>35</v>
      </c>
      <c r="F53" s="8">
        <v>72</v>
      </c>
      <c r="G53" s="9">
        <v>87</v>
      </c>
      <c r="H53" s="9">
        <f t="shared" si="1"/>
        <v>6264</v>
      </c>
      <c r="I53" s="7"/>
    </row>
    <row r="54" spans="1:9" ht="75" customHeight="1" x14ac:dyDescent="0.3">
      <c r="A54" s="5" t="s">
        <v>129</v>
      </c>
      <c r="B54" s="6" t="s">
        <v>130</v>
      </c>
      <c r="C54" s="7" t="s">
        <v>131</v>
      </c>
      <c r="D54" s="7" t="s">
        <v>84</v>
      </c>
      <c r="E54" s="5" t="s">
        <v>35</v>
      </c>
      <c r="F54" s="8">
        <v>72</v>
      </c>
      <c r="G54" s="9">
        <v>30</v>
      </c>
      <c r="H54" s="9">
        <f t="shared" si="1"/>
        <v>2160</v>
      </c>
      <c r="I54" s="7"/>
    </row>
    <row r="55" spans="1:9" ht="75" customHeight="1" x14ac:dyDescent="0.3">
      <c r="A55" s="5" t="s">
        <v>132</v>
      </c>
      <c r="B55" s="6" t="s">
        <v>133</v>
      </c>
      <c r="C55" s="7" t="s">
        <v>134</v>
      </c>
      <c r="D55" s="7" t="s">
        <v>84</v>
      </c>
      <c r="E55" s="5" t="s">
        <v>35</v>
      </c>
      <c r="F55" s="8">
        <v>72</v>
      </c>
      <c r="G55" s="9">
        <v>95</v>
      </c>
      <c r="H55" s="9">
        <f t="shared" si="1"/>
        <v>6840</v>
      </c>
      <c r="I55" s="7"/>
    </row>
    <row r="56" spans="1:9" ht="75" customHeight="1" x14ac:dyDescent="0.3">
      <c r="A56" s="5" t="s">
        <v>135</v>
      </c>
      <c r="B56" s="6" t="s">
        <v>136</v>
      </c>
      <c r="C56" s="7" t="s">
        <v>137</v>
      </c>
      <c r="D56" s="7" t="s">
        <v>84</v>
      </c>
      <c r="E56" s="5" t="s">
        <v>35</v>
      </c>
      <c r="F56" s="8"/>
      <c r="G56" s="9"/>
      <c r="H56" s="9">
        <f t="shared" si="1"/>
        <v>0</v>
      </c>
      <c r="I56" s="11" t="s">
        <v>98</v>
      </c>
    </row>
    <row r="57" spans="1:9" x14ac:dyDescent="0.3">
      <c r="A57" s="22" t="s">
        <v>138</v>
      </c>
      <c r="B57" s="22"/>
      <c r="C57" s="22"/>
      <c r="D57" s="22"/>
      <c r="E57" s="22"/>
      <c r="F57" s="22"/>
      <c r="G57" s="22"/>
      <c r="H57" s="22"/>
      <c r="I57" s="22"/>
    </row>
    <row r="58" spans="1:9" ht="105.6" customHeight="1" x14ac:dyDescent="0.3">
      <c r="A58" s="5" t="s">
        <v>139</v>
      </c>
      <c r="B58" s="6" t="s">
        <v>140</v>
      </c>
      <c r="C58" s="7" t="s">
        <v>141</v>
      </c>
      <c r="D58" s="7" t="s">
        <v>84</v>
      </c>
      <c r="E58" s="5" t="s">
        <v>35</v>
      </c>
      <c r="F58" s="8">
        <v>571</v>
      </c>
      <c r="G58" s="9">
        <v>190</v>
      </c>
      <c r="H58" s="9">
        <f>IFERROR(F58*G58,"")</f>
        <v>108490</v>
      </c>
      <c r="I58" s="7"/>
    </row>
    <row r="59" spans="1:9" ht="107.4" customHeight="1" x14ac:dyDescent="0.3">
      <c r="A59" s="5" t="s">
        <v>142</v>
      </c>
      <c r="B59" s="6" t="s">
        <v>143</v>
      </c>
      <c r="C59" s="7" t="s">
        <v>144</v>
      </c>
      <c r="D59" s="7" t="s">
        <v>84</v>
      </c>
      <c r="E59" s="5" t="s">
        <v>35</v>
      </c>
      <c r="F59" s="8">
        <v>21</v>
      </c>
      <c r="G59" s="9">
        <v>213</v>
      </c>
      <c r="H59" s="9">
        <f>G59*F59</f>
        <v>4473</v>
      </c>
      <c r="I59" s="7"/>
    </row>
    <row r="61" spans="1:9" ht="21.75" customHeight="1" x14ac:dyDescent="0.3">
      <c r="A61" s="20" t="s">
        <v>145</v>
      </c>
      <c r="B61" s="20"/>
      <c r="C61" s="20"/>
      <c r="D61" s="20"/>
      <c r="E61" s="20"/>
      <c r="F61" s="20"/>
      <c r="G61" s="20"/>
      <c r="H61" s="14">
        <v>25000</v>
      </c>
      <c r="I61" s="12"/>
    </row>
    <row r="62" spans="1:9" ht="69.599999999999994" customHeight="1" x14ac:dyDescent="0.3">
      <c r="A62" s="20" t="s">
        <v>146</v>
      </c>
      <c r="B62" s="20"/>
      <c r="C62" s="20"/>
      <c r="D62" s="20"/>
      <c r="E62" s="20"/>
      <c r="F62" s="20"/>
      <c r="G62" s="20"/>
      <c r="H62" s="14"/>
      <c r="I62" s="13" t="s">
        <v>148</v>
      </c>
    </row>
    <row r="63" spans="1:9" ht="21.75" customHeight="1" x14ac:dyDescent="0.3">
      <c r="A63" s="20" t="s">
        <v>147</v>
      </c>
      <c r="B63" s="20"/>
      <c r="C63" s="20"/>
      <c r="D63" s="20"/>
      <c r="E63" s="20"/>
      <c r="F63" s="20"/>
      <c r="G63" s="20"/>
      <c r="H63" s="14">
        <v>168000</v>
      </c>
      <c r="I63" s="12"/>
    </row>
    <row r="65" spans="1:9" x14ac:dyDescent="0.3">
      <c r="A65" s="21"/>
      <c r="B65" s="21"/>
      <c r="C65" s="21"/>
      <c r="D65" s="21"/>
      <c r="E65" s="21"/>
      <c r="F65" s="21"/>
      <c r="G65" s="21"/>
      <c r="H65" s="21"/>
      <c r="I65" s="21"/>
    </row>
    <row r="66" spans="1:9" ht="24.75" customHeight="1" x14ac:dyDescent="0.3">
      <c r="A66" s="19"/>
      <c r="B66" s="19"/>
      <c r="C66" s="19"/>
      <c r="D66" s="19"/>
      <c r="E66" s="19"/>
      <c r="F66" s="19"/>
      <c r="G66" s="19"/>
      <c r="H66" s="19"/>
      <c r="I66" s="19"/>
    </row>
    <row r="67" spans="1:9" ht="24.75" customHeight="1" x14ac:dyDescent="0.3">
      <c r="A67" s="19"/>
      <c r="B67" s="19"/>
      <c r="C67" s="19"/>
      <c r="D67" s="19"/>
      <c r="E67" s="19"/>
      <c r="F67" s="19"/>
      <c r="G67" s="19"/>
      <c r="H67" s="19"/>
      <c r="I67" s="19"/>
    </row>
    <row r="68" spans="1:9" ht="24.75" customHeight="1" x14ac:dyDescent="0.3">
      <c r="A68" s="19"/>
      <c r="B68" s="19"/>
      <c r="C68" s="19"/>
      <c r="D68" s="19"/>
      <c r="E68" s="19"/>
      <c r="F68" s="19"/>
      <c r="G68" s="19"/>
      <c r="H68" s="19"/>
      <c r="I68" s="19"/>
    </row>
    <row r="69" spans="1:9" ht="24.75" customHeight="1" x14ac:dyDescent="0.3">
      <c r="A69" s="19"/>
      <c r="B69" s="19"/>
      <c r="C69" s="19"/>
      <c r="D69" s="19"/>
      <c r="E69" s="19"/>
      <c r="F69" s="19"/>
      <c r="G69" s="19"/>
      <c r="H69" s="19"/>
      <c r="I69" s="19"/>
    </row>
    <row r="71" spans="1:9" x14ac:dyDescent="0.3">
      <c r="A71" s="21"/>
      <c r="B71" s="21"/>
      <c r="C71" s="21"/>
      <c r="D71" s="21"/>
      <c r="E71" s="21"/>
      <c r="F71" s="21"/>
      <c r="G71" s="21"/>
      <c r="H71" s="21"/>
      <c r="I71" s="21"/>
    </row>
    <row r="72" spans="1:9" ht="49.5" customHeight="1" x14ac:dyDescent="0.3">
      <c r="A72" s="19"/>
      <c r="B72" s="19"/>
      <c r="C72" s="19"/>
      <c r="D72" s="19"/>
      <c r="E72" s="19"/>
      <c r="F72" s="19"/>
      <c r="G72" s="19"/>
      <c r="H72" s="19"/>
      <c r="I72" s="19"/>
    </row>
  </sheetData>
  <mergeCells count="29">
    <mergeCell ref="A72:I72"/>
    <mergeCell ref="A66:I66"/>
    <mergeCell ref="A67:I67"/>
    <mergeCell ref="A68:I68"/>
    <mergeCell ref="A69:I69"/>
    <mergeCell ref="A71:I71"/>
    <mergeCell ref="A61:G61"/>
    <mergeCell ref="A62:G62"/>
    <mergeCell ref="A63:G63"/>
    <mergeCell ref="A65:I65"/>
    <mergeCell ref="A18:K18"/>
    <mergeCell ref="A21:I21"/>
    <mergeCell ref="A31:I31"/>
    <mergeCell ref="A57:I57"/>
    <mergeCell ref="A13:K13"/>
    <mergeCell ref="A14:K14"/>
    <mergeCell ref="A15:K15"/>
    <mergeCell ref="A16:K16"/>
    <mergeCell ref="A17:K17"/>
    <mergeCell ref="A8:K8"/>
    <mergeCell ref="A9:K9"/>
    <mergeCell ref="A10:K10"/>
    <mergeCell ref="A11:K11"/>
    <mergeCell ref="A12:K12"/>
    <mergeCell ref="A1:K1"/>
    <mergeCell ref="A2:F2"/>
    <mergeCell ref="A3:F3"/>
    <mergeCell ref="A4:F4"/>
    <mergeCell ref="A7:K7"/>
  </mergeCells>
  <printOptions horizontalCentered="1"/>
  <pageMargins left="0.4" right="0.4" top="0.5" bottom="0.5" header="0.511811023622047" footer="0.511811023622047"/>
  <pageSetup paperSize="8" scale="94" fitToHeight="0"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2</vt:i4>
      </vt:variant>
    </vt:vector>
  </HeadingPairs>
  <TitlesOfParts>
    <vt:vector size="3" baseType="lpstr">
      <vt:lpstr>Tender Document</vt:lpstr>
      <vt:lpstr>'Tender Document'!Yazdırma_Alanı</vt:lpstr>
      <vt:lpstr>'Tender Document'!Yazdırma_Başlıkları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Yeliz Cosar</cp:lastModifiedBy>
  <cp:revision>0</cp:revision>
  <cp:lastPrinted>2026-05-20T14:36:25Z</cp:lastPrinted>
  <dcterms:created xsi:type="dcterms:W3CDTF">2026-05-20T10:59:26Z</dcterms:created>
  <dcterms:modified xsi:type="dcterms:W3CDTF">2026-05-20T14:37:31Z</dcterms:modified>
  <dc:language>en-US</dc:language>
</cp:coreProperties>
</file>