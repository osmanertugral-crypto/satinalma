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-SVC MALİYET DOSYALARI\YİÇİ\SB GÜVENLİK İRTİBAT ARACI AVADANLIK-TEPE LAMBASI\"/>
    </mc:Choice>
  </mc:AlternateContent>
  <xr:revisionPtr revIDLastSave="0" documentId="14_{45E7A415-0FA4-44D8-AED7-F82EA9ACA2A2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AVADANLIK+TEPE LAMBASI+PROJEKTÖ" sheetId="6" r:id="rId1"/>
  </sheets>
  <definedNames>
    <definedName name="_xlnm.Print_Area" localSheetId="0">'AVADANLIK+TEPE LAMBASI+PROJEKTÖ'!$A$1:$M$54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" i="6" l="1"/>
  <c r="P19" i="6"/>
  <c r="P23" i="6"/>
  <c r="M33" i="6"/>
  <c r="P25" i="6" s="1"/>
  <c r="M20" i="6"/>
  <c r="P20" i="6"/>
  <c r="M22" i="6"/>
  <c r="M23" i="6"/>
  <c r="M24" i="6"/>
  <c r="M25" i="6"/>
  <c r="M26" i="6"/>
  <c r="M27" i="6"/>
  <c r="M28" i="6"/>
  <c r="M29" i="6"/>
  <c r="M30" i="6"/>
  <c r="M32" i="6"/>
  <c r="M21" i="6"/>
  <c r="M18" i="6"/>
  <c r="K18" i="6"/>
  <c r="M35" i="6" l="1"/>
</calcChain>
</file>

<file path=xl/sharedStrings.xml><?xml version="1.0" encoding="utf-8"?>
<sst xmlns="http://schemas.openxmlformats.org/spreadsheetml/2006/main" count="73" uniqueCount="68">
  <si>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</si>
  <si>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</si>
  <si>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</si>
  <si>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</si>
  <si>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</si>
  <si>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</si>
  <si>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</si>
  <si>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</si>
  <si>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</si>
  <si>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</si>
  <si>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</si>
  <si>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</si>
  <si>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</si>
  <si>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</si>
  <si>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</si>
  <si>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</si>
  <si>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</si>
  <si>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</si>
  <si>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</si>
  <si>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</si>
  <si>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</si>
  <si>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</si>
  <si>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</si>
  <si>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</si>
  <si>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</si>
  <si>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</si>
  <si>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</si>
  <si>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</si>
  <si>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</si>
  <si>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Teklif</t>
  </si>
  <si>
    <t>SVC</t>
  </si>
  <si>
    <t>ARAÇ</t>
  </si>
  <si>
    <t>Armas</t>
  </si>
  <si>
    <t>Ürün 
Departmanı Notu</t>
  </si>
  <si>
    <t>TEPE LAMBASI</t>
  </si>
  <si>
    <t>Genişlik: En az 25 cm
Uzunluk: En az 100 cm
Çalışma gerilimi: 12 Volt
Renk: Kırmızı – Mavi
Tip: LED</t>
  </si>
  <si>
    <t>Tepe Lambası</t>
  </si>
  <si>
    <t>Kontrol:
Sürücü kabininden veya uzaktan kumanda ile kontrol edilebilir
Besleme:
Araç aküsünden çalışacak
Hareket:
Sağa-sola en az 270° dönebilecek
Aydınlatma gücü:
En az 55 W veya
En az 2500 lümen</t>
  </si>
  <si>
    <t>Projektör</t>
  </si>
  <si>
    <t>PROJEKTÖR</t>
  </si>
  <si>
    <t>AVADANLIK</t>
  </si>
  <si>
    <t>Bijon anahtarı ve kolu (teker uyumlu)</t>
  </si>
  <si>
    <t>Kriko ve kolu</t>
  </si>
  <si>
    <t>Aracı kaldırabilecek
En az 5 ton kapasiteli</t>
  </si>
  <si>
    <t>Çekiç</t>
  </si>
  <si>
    <t>En az 2 kg
Ağaç saplı</t>
  </si>
  <si>
    <t>Takoz</t>
  </si>
  <si>
    <t>Metal veya plastik</t>
  </si>
  <si>
    <t>Patinaj zinciri</t>
  </si>
  <si>
    <t>En az 2 teker için</t>
  </si>
  <si>
    <t>Çeki halatı</t>
  </si>
  <si>
    <t>Levye</t>
  </si>
  <si>
    <t>Katlanabilir reflektör</t>
  </si>
  <si>
    <t>Paspas</t>
  </si>
  <si>
    <t>Avadanlık çantası</t>
  </si>
  <si>
    <t>Tüm ekipmanları koymak için</t>
  </si>
  <si>
    <t>İlk yardım çantası</t>
  </si>
  <si>
    <t>Trafik tüzüğüne uygun</t>
  </si>
  <si>
    <t>Yangın söndürme cihazı</t>
  </si>
  <si>
    <t>En az 2 kg
Basınç göstergeli</t>
  </si>
  <si>
    <t>AVADANLIK +  TEPE LAMBASI + PROJEKTÖR</t>
  </si>
  <si>
    <t>BELİRSİZ</t>
  </si>
  <si>
    <t xml:space="preserve"> OTOKOÇ</t>
  </si>
  <si>
    <t>Ürün Nakliyeleri</t>
  </si>
  <si>
    <t>Montaj</t>
  </si>
  <si>
    <t>TEPE LAMBASI - PROJEKTOR</t>
  </si>
  <si>
    <t>TEKLİF</t>
  </si>
  <si>
    <t>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</si>
</sst>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₺-41F]* #,##0.00_-;\-[$₺-41F]* #,##0.00_-;_-[$₺-41F]* &quot;-&quot;??_-;_-@_-"/>
    <numFmt numFmtId="165" formatCode="_-[$$-409]* #,##0.00_ ;_-[$$-409]* \-#,##0.00\ ;_-[$$-409]* &quot;-&quot;??_ ;_-@_ "/>
  </numFmts>
  <fonts count="1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20"/>
      <color theme="1"/>
      <name val="Century Gothic"/>
      <family val="2"/>
      <charset val="162"/>
    </font>
    <font>
      <sz val="20"/>
      <color rgb="FFFF0000"/>
      <name val="Century Gothic"/>
      <family val="2"/>
      <charset val="162"/>
    </font>
    <font>
      <sz val="24"/>
      <color theme="1"/>
      <name val="Century Gothic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102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164" fontId="9" fillId="0" borderId="9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0" xfId="0" applyFont="1"/>
    <xf numFmtId="0" fontId="7" fillId="4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wrapText="1"/>
    </xf>
    <xf numFmtId="164" fontId="3" fillId="0" borderId="0" xfId="0" applyNumberFormat="1" applyFont="1"/>
    <xf numFmtId="164" fontId="6" fillId="2" borderId="31" xfId="0" applyNumberFormat="1" applyFont="1" applyFill="1" applyBorder="1"/>
    <xf numFmtId="164" fontId="3" fillId="0" borderId="0" xfId="0" applyNumberFormat="1" applyFont="1" applyAlignment="1">
      <alignment horizontal="center" vertical="center"/>
    </xf>
    <xf numFmtId="164" fontId="7" fillId="0" borderId="0" xfId="2" applyNumberFormat="1" applyFont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right" vertical="center"/>
    </xf>
    <xf numFmtId="164" fontId="3" fillId="0" borderId="0" xfId="2" applyNumberFormat="1" applyFont="1"/>
    <xf numFmtId="164" fontId="5" fillId="0" borderId="0" xfId="2" applyNumberFormat="1" applyFont="1"/>
    <xf numFmtId="164" fontId="6" fillId="2" borderId="31" xfId="2" applyNumberFormat="1" applyFont="1" applyFill="1" applyBorder="1"/>
    <xf numFmtId="164" fontId="9" fillId="0" borderId="12" xfId="2" applyNumberFormat="1" applyFont="1" applyBorder="1" applyAlignment="1">
      <alignment horizontal="center" vertical="center"/>
    </xf>
    <xf numFmtId="164" fontId="3" fillId="0" borderId="0" xfId="2" applyNumberFormat="1" applyFont="1" applyAlignment="1">
      <alignment vertical="center"/>
    </xf>
    <xf numFmtId="0" fontId="7" fillId="4" borderId="32" xfId="0" applyFont="1" applyFill="1" applyBorder="1" applyAlignment="1">
      <alignment horizontal="center" vertical="center"/>
    </xf>
    <xf numFmtId="164" fontId="7" fillId="3" borderId="33" xfId="2" applyNumberFormat="1" applyFont="1" applyFill="1" applyBorder="1" applyAlignment="1">
      <alignment horizontal="center" vertical="center"/>
    </xf>
    <xf numFmtId="165" fontId="7" fillId="3" borderId="33" xfId="2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164" fontId="7" fillId="3" borderId="32" xfId="2" applyNumberFormat="1" applyFont="1" applyFill="1" applyBorder="1" applyAlignment="1">
      <alignment horizontal="center" vertical="center"/>
    </xf>
    <xf numFmtId="164" fontId="7" fillId="3" borderId="33" xfId="2" applyNumberFormat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12" fillId="0" borderId="0" xfId="0" applyFont="1"/>
    <xf numFmtId="164" fontId="13" fillId="0" borderId="0" xfId="0" applyNumberFormat="1" applyFont="1"/>
    <xf numFmtId="0" fontId="3" fillId="0" borderId="0" xfId="0" applyFont="1" applyBorder="1" applyAlignment="1">
      <alignment horizontal="center"/>
    </xf>
    <xf numFmtId="164" fontId="8" fillId="2" borderId="9" xfId="0" applyNumberFormat="1" applyFont="1" applyFill="1" applyBorder="1" applyAlignment="1">
      <alignment horizontal="right" vertical="center"/>
    </xf>
    <xf numFmtId="164" fontId="8" fillId="2" borderId="12" xfId="0" applyNumberFormat="1" applyFont="1" applyFill="1" applyBorder="1" applyAlignment="1">
      <alignment horizontal="right" vertical="center"/>
    </xf>
    <xf numFmtId="0" fontId="7" fillId="3" borderId="32" xfId="2" applyNumberFormat="1" applyFont="1" applyFill="1" applyBorder="1" applyAlignment="1">
      <alignment horizontal="center" vertical="center"/>
    </xf>
    <xf numFmtId="0" fontId="7" fillId="3" borderId="33" xfId="2" applyNumberFormat="1" applyFont="1" applyFill="1" applyBorder="1" applyAlignment="1">
      <alignment horizontal="center" vertical="center"/>
    </xf>
    <xf numFmtId="0" fontId="7" fillId="3" borderId="33" xfId="2" applyNumberFormat="1" applyFont="1" applyFill="1" applyBorder="1" applyAlignment="1">
      <alignment horizontal="center"/>
    </xf>
    <xf numFmtId="164" fontId="14" fillId="0" borderId="0" xfId="0" applyNumberFormat="1" applyFont="1"/>
    <xf numFmtId="0" fontId="7" fillId="3" borderId="1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367276" y="286872"/>
          <a:ext cx="5836839" cy="1399308"/>
        </a:xfrm>
        <a:prstGeom prst="rect">
          <a:avLst/>
        </a:prstGeom>
      </xdr:spPr>
    </xdr:pic>
    <xdr:clientData/>
  </xdr:twoCellAnchor>
  <xdr:twoCellAnchor editAs="oneCell">
    <xdr:from>
      <xdr:col>4</xdr:col>
      <xdr:colOff>13855</xdr:colOff>
      <xdr:row>17</xdr:row>
      <xdr:rowOff>665019</xdr:rowOff>
    </xdr:from>
    <xdr:to>
      <xdr:col>8</xdr:col>
      <xdr:colOff>1789315</xdr:colOff>
      <xdr:row>17</xdr:row>
      <xdr:rowOff>2798619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941377F-EB31-8F24-B5CF-498A75394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6910" y="6289964"/>
          <a:ext cx="9049096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13854</xdr:colOff>
      <xdr:row>18</xdr:row>
      <xdr:rowOff>249382</xdr:rowOff>
    </xdr:from>
    <xdr:to>
      <xdr:col>8</xdr:col>
      <xdr:colOff>1842654</xdr:colOff>
      <xdr:row>18</xdr:row>
      <xdr:rowOff>2382982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B632A2A1-0BE5-14AF-852E-55B1DAE35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6909" y="9504218"/>
          <a:ext cx="9102436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2424545</xdr:colOff>
      <xdr:row>20</xdr:row>
      <xdr:rowOff>76201</xdr:rowOff>
    </xdr:from>
    <xdr:to>
      <xdr:col>7</xdr:col>
      <xdr:colOff>27709</xdr:colOff>
      <xdr:row>32</xdr:row>
      <xdr:rowOff>21533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C8DE2203-4B1E-C324-4B73-E1BE4B315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5345" y="12531437"/>
          <a:ext cx="6289964" cy="4212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R54"/>
  <sheetViews>
    <sheetView tabSelected="1" topLeftCell="E19" zoomScale="55" zoomScaleNormal="55" workbookViewId="0">
      <selection activeCell="M31" sqref="M31:M32"/>
    </sheetView>
  </sheetViews>
  <sheetFormatPr defaultColWidth="9.109375" defaultRowHeight="13.8" x14ac:dyDescent="0.25"/>
  <cols>
    <col min="1" max="1" width="25.44140625" style="1" customWidth="1"/>
    <col min="2" max="2" width="33.88671875" style="1" customWidth="1"/>
    <col min="3" max="3" width="34" style="1" customWidth="1"/>
    <col min="4" max="4" width="35.88671875" style="1" customWidth="1"/>
    <col min="5" max="5" width="51.88671875" style="1" customWidth="1"/>
    <col min="6" max="6" width="21.5546875" style="1" customWidth="1"/>
    <col min="7" max="7" width="17.109375" style="1" customWidth="1"/>
    <col min="8" max="8" width="15.44140625" style="1" customWidth="1"/>
    <col min="9" max="9" width="71.88671875" style="1" customWidth="1"/>
    <col min="10" max="10" width="23.109375" style="1" customWidth="1"/>
    <col min="11" max="12" width="20.88671875" style="29" customWidth="1"/>
    <col min="13" max="13" width="28.33203125" style="32" customWidth="1"/>
    <col min="14" max="15" width="9.109375" style="1"/>
    <col min="16" max="16" width="36.6640625" style="1" customWidth="1"/>
    <col min="17" max="16384" width="9.109375" style="1"/>
  </cols>
  <sheetData>
    <row r="1" spans="1:15" ht="12" customHeight="1" thickBot="1" x14ac:dyDescent="0.3"/>
    <row r="2" spans="1:15" ht="42.6" customHeight="1" x14ac:dyDescent="0.25">
      <c r="A2" s="13"/>
      <c r="B2" s="20" t="s">
        <v>23</v>
      </c>
      <c r="C2" s="40"/>
      <c r="D2" s="41"/>
      <c r="E2" s="41"/>
      <c r="F2" s="41"/>
      <c r="G2" s="41"/>
      <c r="H2" s="41"/>
      <c r="I2" s="41"/>
      <c r="J2" s="41"/>
      <c r="K2" s="42"/>
      <c r="L2" s="94"/>
    </row>
    <row r="3" spans="1:15" ht="41.4" customHeight="1" x14ac:dyDescent="0.25">
      <c r="A3" s="14"/>
      <c r="B3" s="21" t="s">
        <v>25</v>
      </c>
      <c r="C3" s="43"/>
      <c r="D3" s="44"/>
      <c r="E3" s="44"/>
      <c r="F3" s="44"/>
      <c r="G3" s="44"/>
      <c r="H3" s="44"/>
      <c r="I3" s="44"/>
      <c r="J3" s="44"/>
      <c r="K3" s="45"/>
      <c r="L3" s="94"/>
    </row>
    <row r="4" spans="1:15" ht="41.4" customHeight="1" thickBot="1" x14ac:dyDescent="0.3">
      <c r="A4" s="15"/>
      <c r="B4" s="22" t="s">
        <v>24</v>
      </c>
      <c r="C4" s="46"/>
      <c r="D4" s="47"/>
      <c r="E4" s="47"/>
      <c r="F4" s="47"/>
      <c r="G4" s="47"/>
      <c r="H4" s="47"/>
      <c r="I4" s="47"/>
      <c r="J4" s="47"/>
      <c r="K4" s="48"/>
      <c r="L4" s="94"/>
    </row>
    <row r="5" spans="1:15" ht="33" customHeight="1" thickBot="1" x14ac:dyDescent="0.3">
      <c r="C5" s="4"/>
      <c r="K5" s="27"/>
      <c r="L5" s="27"/>
    </row>
    <row r="6" spans="1:15" ht="17.399999999999999" x14ac:dyDescent="0.3">
      <c r="A6" s="55" t="s">
        <v>27</v>
      </c>
      <c r="B6" s="56"/>
      <c r="C6" s="57">
        <v>46160</v>
      </c>
      <c r="D6" s="58"/>
      <c r="E6" s="58"/>
      <c r="F6" s="58"/>
      <c r="G6" s="58"/>
      <c r="H6" s="59"/>
      <c r="K6" s="27"/>
      <c r="L6" s="27"/>
    </row>
    <row r="7" spans="1:15" ht="17.399999999999999" x14ac:dyDescent="0.3">
      <c r="A7" s="52" t="s">
        <v>28</v>
      </c>
      <c r="B7" s="53"/>
      <c r="C7" s="49">
        <v>46160</v>
      </c>
      <c r="D7" s="50"/>
      <c r="E7" s="50"/>
      <c r="F7" s="50"/>
      <c r="G7" s="50"/>
      <c r="H7" s="51"/>
      <c r="K7" s="27"/>
      <c r="L7" s="27"/>
    </row>
    <row r="8" spans="1:15" ht="20.399999999999999" customHeight="1" x14ac:dyDescent="0.3">
      <c r="A8" s="52" t="s">
        <v>26</v>
      </c>
      <c r="B8" s="53"/>
      <c r="C8" s="54" t="s">
        <v>29</v>
      </c>
      <c r="D8" s="50"/>
      <c r="E8" s="50"/>
      <c r="F8" s="50"/>
      <c r="G8" s="50"/>
      <c r="H8" s="51"/>
      <c r="K8" s="27"/>
      <c r="L8" s="27"/>
    </row>
    <row r="9" spans="1:15" s="3" customFormat="1" ht="18.899999999999999" customHeight="1" x14ac:dyDescent="0.3">
      <c r="A9" s="64" t="s">
        <v>8</v>
      </c>
      <c r="B9" s="65"/>
      <c r="C9" s="60" t="s">
        <v>30</v>
      </c>
      <c r="D9" s="60"/>
      <c r="E9" s="60"/>
      <c r="F9" s="60"/>
      <c r="G9" s="60"/>
      <c r="H9" s="61"/>
      <c r="I9" s="33"/>
      <c r="J9" s="33"/>
      <c r="K9" s="33" t="s">
        <v>67</v>
      </c>
      <c r="L9" s="33">
        <v>45.58</v>
      </c>
      <c r="M9" s="33"/>
    </row>
    <row r="10" spans="1:15" s="3" customFormat="1" ht="20.399999999999999" customHeight="1" x14ac:dyDescent="0.3">
      <c r="A10" s="64" t="s">
        <v>14</v>
      </c>
      <c r="B10" s="65"/>
      <c r="C10" s="60" t="s">
        <v>15</v>
      </c>
      <c r="D10" s="60"/>
      <c r="E10" s="60"/>
      <c r="F10" s="60"/>
      <c r="G10" s="60"/>
      <c r="H10" s="61"/>
      <c r="I10" s="33"/>
      <c r="J10" s="33"/>
      <c r="K10" s="33"/>
      <c r="L10" s="33"/>
      <c r="M10" s="33"/>
    </row>
    <row r="11" spans="1:15" s="3" customFormat="1" ht="21" customHeight="1" x14ac:dyDescent="0.3">
      <c r="A11" s="64" t="s">
        <v>9</v>
      </c>
      <c r="B11" s="65"/>
      <c r="C11" s="60" t="s">
        <v>60</v>
      </c>
      <c r="D11" s="60"/>
      <c r="E11" s="60"/>
      <c r="F11" s="60"/>
      <c r="G11" s="60"/>
      <c r="H11" s="61"/>
      <c r="I11" s="33"/>
      <c r="J11" s="33"/>
      <c r="K11" s="33"/>
      <c r="L11" s="33"/>
      <c r="M11" s="32"/>
      <c r="N11" s="1"/>
    </row>
    <row r="12" spans="1:15" s="3" customFormat="1" ht="21" customHeight="1" x14ac:dyDescent="0.3">
      <c r="A12" s="52" t="s">
        <v>31</v>
      </c>
      <c r="B12" s="53"/>
      <c r="C12" s="54" t="s">
        <v>61</v>
      </c>
      <c r="D12" s="50"/>
      <c r="E12" s="50"/>
      <c r="F12" s="50"/>
      <c r="G12" s="50"/>
      <c r="H12" s="51"/>
      <c r="I12" s="33"/>
      <c r="J12" s="33"/>
      <c r="K12" s="33"/>
      <c r="L12" s="33"/>
      <c r="M12" s="32"/>
      <c r="N12" s="1"/>
    </row>
    <row r="13" spans="1:15" s="3" customFormat="1" ht="21" customHeight="1" x14ac:dyDescent="0.3">
      <c r="A13" s="64" t="s">
        <v>16</v>
      </c>
      <c r="B13" s="65"/>
      <c r="C13" s="60" t="s">
        <v>62</v>
      </c>
      <c r="D13" s="60"/>
      <c r="E13" s="60"/>
      <c r="F13" s="60"/>
      <c r="G13" s="60"/>
      <c r="H13" s="61"/>
      <c r="I13" s="33"/>
      <c r="J13" s="33"/>
      <c r="K13" s="33"/>
      <c r="L13" s="33"/>
      <c r="M13" s="32"/>
      <c r="N13" s="1"/>
      <c r="O13" s="1"/>
    </row>
    <row r="14" spans="1:15" s="3" customFormat="1" ht="21" customHeight="1" x14ac:dyDescent="0.3">
      <c r="A14" s="64" t="s">
        <v>10</v>
      </c>
      <c r="B14" s="65"/>
      <c r="C14" s="60"/>
      <c r="D14" s="60"/>
      <c r="E14" s="60"/>
      <c r="F14" s="60"/>
      <c r="G14" s="60"/>
      <c r="H14" s="61"/>
      <c r="I14" s="33"/>
      <c r="J14" s="33"/>
      <c r="K14" s="33"/>
      <c r="L14" s="33"/>
      <c r="M14" s="32"/>
      <c r="N14" s="1"/>
      <c r="O14" s="1"/>
    </row>
    <row r="15" spans="1:15" s="3" customFormat="1" ht="18.899999999999999" customHeight="1" thickBot="1" x14ac:dyDescent="0.35">
      <c r="A15" s="62" t="s">
        <v>13</v>
      </c>
      <c r="B15" s="63"/>
      <c r="C15" s="66">
        <v>1</v>
      </c>
      <c r="D15" s="66"/>
      <c r="E15" s="66"/>
      <c r="F15" s="66"/>
      <c r="G15" s="66"/>
      <c r="H15" s="67"/>
      <c r="I15" s="1"/>
      <c r="J15" s="1"/>
      <c r="K15" s="27"/>
      <c r="L15" s="27"/>
      <c r="M15" s="32"/>
      <c r="N15" s="1"/>
    </row>
    <row r="16" spans="1:15" ht="18.600000000000001" customHeight="1" thickBot="1" x14ac:dyDescent="0.3">
      <c r="K16" s="27"/>
      <c r="L16" s="27"/>
    </row>
    <row r="17" spans="1:18" ht="58.35" customHeight="1" x14ac:dyDescent="0.3">
      <c r="A17" s="17" t="s">
        <v>0</v>
      </c>
      <c r="B17" s="18" t="s">
        <v>3</v>
      </c>
      <c r="C17" s="18" t="s">
        <v>21</v>
      </c>
      <c r="D17" s="18" t="s">
        <v>4</v>
      </c>
      <c r="E17" s="18" t="s">
        <v>7</v>
      </c>
      <c r="F17" s="26" t="s">
        <v>33</v>
      </c>
      <c r="G17" s="18" t="s">
        <v>5</v>
      </c>
      <c r="H17" s="18" t="s">
        <v>1</v>
      </c>
      <c r="I17" s="19" t="s">
        <v>20</v>
      </c>
      <c r="J17" s="18" t="s">
        <v>22</v>
      </c>
      <c r="K17" s="28" t="s">
        <v>2</v>
      </c>
      <c r="L17" s="28" t="s">
        <v>13</v>
      </c>
      <c r="M17" s="34" t="s">
        <v>6</v>
      </c>
    </row>
    <row r="18" spans="1:18" ht="285.60000000000002" customHeight="1" x14ac:dyDescent="0.3">
      <c r="A18" s="10" t="s">
        <v>34</v>
      </c>
      <c r="B18" s="24" t="s">
        <v>36</v>
      </c>
      <c r="C18" s="24" t="s">
        <v>35</v>
      </c>
      <c r="D18" s="10" t="s">
        <v>32</v>
      </c>
      <c r="E18"/>
      <c r="F18" s="11"/>
      <c r="G18" s="11"/>
      <c r="H18" s="11">
        <v>1</v>
      </c>
      <c r="I18" s="12"/>
      <c r="J18" s="12"/>
      <c r="K18" s="68">
        <f>40700</f>
        <v>40700</v>
      </c>
      <c r="L18" s="97">
        <v>10</v>
      </c>
      <c r="M18" s="68">
        <f>K18*L18</f>
        <v>407000</v>
      </c>
    </row>
    <row r="19" spans="1:18" ht="197.4" customHeight="1" x14ac:dyDescent="0.4">
      <c r="A19" s="10" t="s">
        <v>39</v>
      </c>
      <c r="B19" s="10" t="s">
        <v>38</v>
      </c>
      <c r="C19" s="24" t="s">
        <v>37</v>
      </c>
      <c r="D19" s="10" t="s">
        <v>32</v>
      </c>
      <c r="E19"/>
      <c r="F19" s="11"/>
      <c r="G19" s="11"/>
      <c r="H19" s="11">
        <v>1</v>
      </c>
      <c r="I19" s="12"/>
      <c r="J19" s="12"/>
      <c r="K19" s="69"/>
      <c r="L19" s="98"/>
      <c r="M19" s="69"/>
      <c r="P19" s="93">
        <f>SUM(M18:M20)</f>
        <v>429790</v>
      </c>
      <c r="Q19" s="92" t="s">
        <v>65</v>
      </c>
      <c r="R19" s="92"/>
    </row>
    <row r="20" spans="1:18" ht="54.75" customHeight="1" x14ac:dyDescent="0.5">
      <c r="A20" s="37"/>
      <c r="B20" s="10" t="s">
        <v>64</v>
      </c>
      <c r="C20" s="24"/>
      <c r="D20" s="10" t="s">
        <v>32</v>
      </c>
      <c r="E20"/>
      <c r="F20" s="11"/>
      <c r="G20" s="11"/>
      <c r="H20" s="11">
        <v>1</v>
      </c>
      <c r="I20" s="12"/>
      <c r="J20" s="12"/>
      <c r="K20" s="39">
        <v>50</v>
      </c>
      <c r="L20" s="101">
        <v>10</v>
      </c>
      <c r="M20" s="38">
        <f>K20*L20*L9</f>
        <v>22790</v>
      </c>
      <c r="P20" s="100">
        <f>P19*1.15</f>
        <v>494258.49999999994</v>
      </c>
      <c r="Q20" s="92" t="s">
        <v>66</v>
      </c>
      <c r="R20" s="92"/>
    </row>
    <row r="21" spans="1:18" ht="32.4" x14ac:dyDescent="0.4">
      <c r="A21" s="89" t="s">
        <v>40</v>
      </c>
      <c r="B21" s="24" t="s">
        <v>41</v>
      </c>
      <c r="C21" s="24"/>
      <c r="D21" s="24"/>
      <c r="E21" s="11"/>
      <c r="F21" s="11"/>
      <c r="G21" s="11"/>
      <c r="H21" s="11">
        <v>1</v>
      </c>
      <c r="I21" s="12"/>
      <c r="J21" s="12"/>
      <c r="K21" s="25">
        <v>500</v>
      </c>
      <c r="L21" s="99">
        <v>25</v>
      </c>
      <c r="M21" s="25">
        <f>K21*L21</f>
        <v>12500</v>
      </c>
      <c r="Q21" s="92"/>
      <c r="R21" s="92"/>
    </row>
    <row r="22" spans="1:18" ht="32.4" x14ac:dyDescent="0.4">
      <c r="A22" s="90"/>
      <c r="B22" s="10" t="s">
        <v>42</v>
      </c>
      <c r="C22" s="24" t="s">
        <v>43</v>
      </c>
      <c r="D22" s="10"/>
      <c r="E22"/>
      <c r="F22" s="11"/>
      <c r="G22" s="11"/>
      <c r="H22" s="11">
        <v>1</v>
      </c>
      <c r="I22" s="12"/>
      <c r="J22" s="12"/>
      <c r="K22" s="25">
        <v>1350</v>
      </c>
      <c r="L22" s="99">
        <v>25</v>
      </c>
      <c r="M22" s="25">
        <f t="shared" ref="M22:M33" si="0">K22*L22</f>
        <v>33750</v>
      </c>
      <c r="Q22" s="92"/>
      <c r="R22" s="92"/>
    </row>
    <row r="23" spans="1:18" ht="32.4" x14ac:dyDescent="0.4">
      <c r="A23" s="90"/>
      <c r="B23" s="10" t="s">
        <v>44</v>
      </c>
      <c r="C23" s="24" t="s">
        <v>45</v>
      </c>
      <c r="D23" s="10"/>
      <c r="E23" s="11"/>
      <c r="F23" s="11"/>
      <c r="G23" s="11"/>
      <c r="H23" s="11">
        <v>1</v>
      </c>
      <c r="I23" s="12"/>
      <c r="J23" s="12"/>
      <c r="K23" s="25">
        <v>250</v>
      </c>
      <c r="L23" s="99">
        <v>25</v>
      </c>
      <c r="M23" s="25">
        <f t="shared" si="0"/>
        <v>6250</v>
      </c>
      <c r="P23" s="93">
        <f>SUM(M21:M33)</f>
        <v>197000</v>
      </c>
      <c r="Q23" s="92" t="s">
        <v>40</v>
      </c>
      <c r="R23" s="92"/>
    </row>
    <row r="24" spans="1:18" ht="25.2" x14ac:dyDescent="0.4">
      <c r="A24" s="90"/>
      <c r="B24" s="10" t="s">
        <v>46</v>
      </c>
      <c r="C24" s="24" t="s">
        <v>47</v>
      </c>
      <c r="D24" s="10"/>
      <c r="E24" s="11"/>
      <c r="F24" s="11"/>
      <c r="G24" s="11"/>
      <c r="H24" s="11">
        <v>1</v>
      </c>
      <c r="I24" s="12"/>
      <c r="J24" s="12"/>
      <c r="K24" s="25">
        <v>350</v>
      </c>
      <c r="L24" s="99">
        <v>25</v>
      </c>
      <c r="M24" s="25">
        <f t="shared" si="0"/>
        <v>8750</v>
      </c>
      <c r="Q24" s="92"/>
      <c r="R24" s="92"/>
    </row>
    <row r="25" spans="1:18" ht="30.6" x14ac:dyDescent="0.5">
      <c r="A25" s="90"/>
      <c r="B25" s="10" t="s">
        <v>48</v>
      </c>
      <c r="C25" s="24" t="s">
        <v>49</v>
      </c>
      <c r="D25" s="10"/>
      <c r="E25" s="11"/>
      <c r="F25" s="11"/>
      <c r="G25" s="11"/>
      <c r="H25" s="11">
        <v>2</v>
      </c>
      <c r="I25" s="12"/>
      <c r="J25" s="12"/>
      <c r="K25" s="25">
        <v>1530</v>
      </c>
      <c r="L25" s="99">
        <v>25</v>
      </c>
      <c r="M25" s="25">
        <f t="shared" si="0"/>
        <v>38250</v>
      </c>
      <c r="P25" s="100">
        <f>P23*1.2</f>
        <v>236400</v>
      </c>
      <c r="Q25" s="92" t="s">
        <v>66</v>
      </c>
      <c r="R25" s="92"/>
    </row>
    <row r="26" spans="1:18" ht="25.2" x14ac:dyDescent="0.4">
      <c r="A26" s="90"/>
      <c r="B26" s="10" t="s">
        <v>50</v>
      </c>
      <c r="C26" s="24"/>
      <c r="D26" s="10"/>
      <c r="E26" s="11"/>
      <c r="F26" s="11"/>
      <c r="G26" s="11"/>
      <c r="H26" s="11">
        <v>1</v>
      </c>
      <c r="I26" s="12"/>
      <c r="J26" s="12"/>
      <c r="K26" s="25">
        <v>685</v>
      </c>
      <c r="L26" s="99">
        <v>25</v>
      </c>
      <c r="M26" s="25">
        <f t="shared" si="0"/>
        <v>17125</v>
      </c>
      <c r="Q26" s="92"/>
      <c r="R26" s="92"/>
    </row>
    <row r="27" spans="1:18" ht="25.2" x14ac:dyDescent="0.4">
      <c r="A27" s="90"/>
      <c r="B27" s="10" t="s">
        <v>51</v>
      </c>
      <c r="C27" s="24"/>
      <c r="D27" s="10"/>
      <c r="E27" s="11"/>
      <c r="F27" s="11"/>
      <c r="G27" s="11"/>
      <c r="H27" s="11">
        <v>1</v>
      </c>
      <c r="I27" s="12"/>
      <c r="J27" s="12"/>
      <c r="K27" s="25">
        <v>300</v>
      </c>
      <c r="L27" s="99">
        <v>25</v>
      </c>
      <c r="M27" s="25">
        <f t="shared" si="0"/>
        <v>7500</v>
      </c>
      <c r="Q27" s="92"/>
      <c r="R27" s="92"/>
    </row>
    <row r="28" spans="1:18" ht="25.2" x14ac:dyDescent="0.4">
      <c r="A28" s="90"/>
      <c r="B28" s="10" t="s">
        <v>52</v>
      </c>
      <c r="C28" s="24"/>
      <c r="D28" s="10"/>
      <c r="E28" s="11"/>
      <c r="F28" s="11"/>
      <c r="G28" s="11"/>
      <c r="H28" s="11">
        <v>1</v>
      </c>
      <c r="I28" s="12"/>
      <c r="J28" s="12"/>
      <c r="K28" s="25">
        <v>95</v>
      </c>
      <c r="L28" s="99">
        <v>25</v>
      </c>
      <c r="M28" s="25">
        <f t="shared" si="0"/>
        <v>2375</v>
      </c>
      <c r="Q28" s="92"/>
      <c r="R28" s="92"/>
    </row>
    <row r="29" spans="1:18" ht="25.2" x14ac:dyDescent="0.4">
      <c r="A29" s="90"/>
      <c r="B29" s="10" t="s">
        <v>53</v>
      </c>
      <c r="C29" s="24"/>
      <c r="D29" s="10"/>
      <c r="E29" s="11"/>
      <c r="F29" s="11"/>
      <c r="G29" s="11"/>
      <c r="H29" s="11">
        <v>1</v>
      </c>
      <c r="I29" s="12"/>
      <c r="J29" s="12"/>
      <c r="K29" s="25">
        <v>1100</v>
      </c>
      <c r="L29" s="99">
        <v>25</v>
      </c>
      <c r="M29" s="25">
        <f t="shared" si="0"/>
        <v>27500</v>
      </c>
      <c r="Q29" s="92"/>
      <c r="R29" s="92"/>
    </row>
    <row r="30" spans="1:18" ht="32.4" x14ac:dyDescent="0.25">
      <c r="A30" s="90"/>
      <c r="B30" s="10" t="s">
        <v>54</v>
      </c>
      <c r="C30" s="24" t="s">
        <v>55</v>
      </c>
      <c r="D30" s="10"/>
      <c r="E30" s="11"/>
      <c r="F30" s="11"/>
      <c r="G30" s="11"/>
      <c r="H30" s="11">
        <v>1</v>
      </c>
      <c r="I30" s="12"/>
      <c r="J30" s="12"/>
      <c r="K30" s="25">
        <v>370</v>
      </c>
      <c r="L30" s="99">
        <v>25</v>
      </c>
      <c r="M30" s="25">
        <f t="shared" si="0"/>
        <v>9250</v>
      </c>
    </row>
    <row r="31" spans="1:18" ht="16.2" x14ac:dyDescent="0.25">
      <c r="A31" s="90"/>
      <c r="B31" s="10" t="s">
        <v>56</v>
      </c>
      <c r="C31" s="24" t="s">
        <v>57</v>
      </c>
      <c r="D31" s="10"/>
      <c r="E31" s="11"/>
      <c r="F31" s="11"/>
      <c r="G31" s="11"/>
      <c r="H31" s="11">
        <v>1</v>
      </c>
      <c r="I31" s="12"/>
      <c r="J31" s="12"/>
      <c r="K31" s="25">
        <v>270</v>
      </c>
      <c r="L31" s="99">
        <v>25</v>
      </c>
      <c r="M31" s="25">
        <f>K31*L31</f>
        <v>6750</v>
      </c>
    </row>
    <row r="32" spans="1:18" ht="32.4" x14ac:dyDescent="0.25">
      <c r="A32" s="91"/>
      <c r="B32" s="10" t="s">
        <v>58</v>
      </c>
      <c r="C32" s="24" t="s">
        <v>59</v>
      </c>
      <c r="D32" s="10"/>
      <c r="E32" s="11"/>
      <c r="F32" s="11"/>
      <c r="G32" s="11"/>
      <c r="H32" s="11">
        <v>1</v>
      </c>
      <c r="I32" s="12"/>
      <c r="J32" s="12"/>
      <c r="K32" s="25">
        <v>800</v>
      </c>
      <c r="L32" s="99">
        <v>25</v>
      </c>
      <c r="M32" s="25">
        <f t="shared" si="0"/>
        <v>20000</v>
      </c>
    </row>
    <row r="33" spans="1:13" ht="64.349999999999994" customHeight="1" x14ac:dyDescent="0.25">
      <c r="A33" s="24"/>
      <c r="B33" s="24" t="s">
        <v>63</v>
      </c>
      <c r="C33" s="24"/>
      <c r="D33" s="24"/>
      <c r="E33" s="11"/>
      <c r="F33" s="11"/>
      <c r="G33" s="11"/>
      <c r="H33" s="11">
        <v>1</v>
      </c>
      <c r="I33" s="12"/>
      <c r="J33" s="12"/>
      <c r="K33" s="25">
        <v>7000</v>
      </c>
      <c r="L33" s="99">
        <v>1</v>
      </c>
      <c r="M33" s="25">
        <f t="shared" si="0"/>
        <v>7000</v>
      </c>
    </row>
    <row r="34" spans="1:13" ht="27.6" customHeight="1" thickBot="1" x14ac:dyDescent="0.3">
      <c r="A34" s="5"/>
      <c r="B34" s="6"/>
      <c r="C34" s="5"/>
      <c r="D34" s="7"/>
      <c r="E34" s="7"/>
      <c r="F34" s="7"/>
      <c r="G34" s="7"/>
      <c r="H34" s="8"/>
      <c r="I34" s="6"/>
      <c r="J34" s="9"/>
      <c r="K34" s="30"/>
      <c r="L34" s="30"/>
      <c r="M34" s="30"/>
    </row>
    <row r="35" spans="1:13" ht="27.6" customHeight="1" thickBot="1" x14ac:dyDescent="0.3">
      <c r="A35" s="5"/>
      <c r="B35" s="6"/>
      <c r="C35" s="5"/>
      <c r="D35" s="7"/>
      <c r="E35" s="7"/>
      <c r="F35" s="7"/>
      <c r="G35" s="7"/>
      <c r="H35" s="8"/>
      <c r="I35" s="6"/>
      <c r="J35" s="9"/>
      <c r="K35" s="31" t="s">
        <v>12</v>
      </c>
      <c r="L35" s="95"/>
      <c r="M35" s="16">
        <f>SUM(M18:M33)</f>
        <v>626790</v>
      </c>
    </row>
    <row r="36" spans="1:13" ht="27.6" customHeight="1" thickBot="1" x14ac:dyDescent="0.3">
      <c r="A36" s="5"/>
      <c r="B36" s="6"/>
      <c r="C36" s="5"/>
      <c r="D36" s="7"/>
      <c r="E36" s="7"/>
      <c r="F36" s="7"/>
      <c r="G36" s="7"/>
      <c r="H36" s="8"/>
      <c r="I36" s="6"/>
      <c r="J36" s="9"/>
      <c r="K36" s="31" t="s">
        <v>11</v>
      </c>
      <c r="L36" s="96"/>
      <c r="M36" s="35"/>
    </row>
    <row r="37" spans="1:13" ht="20.399999999999999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M37" s="36"/>
    </row>
    <row r="38" spans="1:13" ht="17.25" customHeight="1" x14ac:dyDescent="0.25">
      <c r="A38" s="79" t="s">
        <v>17</v>
      </c>
      <c r="B38" s="82"/>
      <c r="C38" s="83"/>
      <c r="D38" s="83"/>
      <c r="E38" s="83"/>
      <c r="F38" s="83"/>
      <c r="G38" s="83"/>
      <c r="H38" s="83"/>
      <c r="I38" s="83"/>
      <c r="J38" s="84"/>
    </row>
    <row r="39" spans="1:13" x14ac:dyDescent="0.25">
      <c r="A39" s="80"/>
      <c r="B39" s="85"/>
      <c r="C39" s="85"/>
      <c r="D39" s="85"/>
      <c r="E39" s="85"/>
      <c r="F39" s="85"/>
      <c r="G39" s="85"/>
      <c r="H39" s="85"/>
      <c r="I39" s="85"/>
      <c r="J39" s="86"/>
    </row>
    <row r="40" spans="1:13" x14ac:dyDescent="0.25">
      <c r="A40" s="80"/>
      <c r="B40" s="85"/>
      <c r="C40" s="85"/>
      <c r="D40" s="85"/>
      <c r="E40" s="85"/>
      <c r="F40" s="85"/>
      <c r="G40" s="85"/>
      <c r="H40" s="85"/>
      <c r="I40" s="85"/>
      <c r="J40" s="86"/>
    </row>
    <row r="41" spans="1:13" ht="51" customHeight="1" x14ac:dyDescent="0.25">
      <c r="A41" s="80"/>
      <c r="B41" s="85"/>
      <c r="C41" s="85"/>
      <c r="D41" s="85"/>
      <c r="E41" s="85"/>
      <c r="F41" s="85"/>
      <c r="G41" s="85"/>
      <c r="H41" s="85"/>
      <c r="I41" s="85"/>
      <c r="J41" s="86"/>
    </row>
    <row r="42" spans="1:13" x14ac:dyDescent="0.25">
      <c r="A42" s="80"/>
      <c r="B42" s="85"/>
      <c r="C42" s="85"/>
      <c r="D42" s="85"/>
      <c r="E42" s="85"/>
      <c r="F42" s="85"/>
      <c r="G42" s="85"/>
      <c r="H42" s="85"/>
      <c r="I42" s="85"/>
      <c r="J42" s="86"/>
    </row>
    <row r="43" spans="1:13" ht="14.4" thickBot="1" x14ac:dyDescent="0.3">
      <c r="A43" s="81"/>
      <c r="B43" s="87"/>
      <c r="C43" s="87"/>
      <c r="D43" s="87"/>
      <c r="E43" s="87"/>
      <c r="F43" s="87"/>
      <c r="G43" s="87"/>
      <c r="H43" s="87"/>
      <c r="I43" s="87"/>
      <c r="J43" s="88"/>
    </row>
    <row r="44" spans="1:13" ht="21.6" thickBot="1" x14ac:dyDescent="0.4">
      <c r="A44" s="23"/>
    </row>
    <row r="45" spans="1:13" ht="13.65" customHeight="1" x14ac:dyDescent="0.25">
      <c r="A45" s="70" t="s">
        <v>18</v>
      </c>
      <c r="B45" s="73" t="s">
        <v>19</v>
      </c>
      <c r="C45" s="73"/>
      <c r="D45" s="73"/>
      <c r="E45" s="73"/>
      <c r="F45" s="73"/>
      <c r="G45" s="73"/>
      <c r="H45" s="73"/>
      <c r="I45" s="73"/>
      <c r="J45" s="74"/>
    </row>
    <row r="46" spans="1:13" ht="13.65" customHeight="1" x14ac:dyDescent="0.25">
      <c r="A46" s="71"/>
      <c r="B46" s="75"/>
      <c r="C46" s="75"/>
      <c r="D46" s="75"/>
      <c r="E46" s="75"/>
      <c r="F46" s="75"/>
      <c r="G46" s="75"/>
      <c r="H46" s="75"/>
      <c r="I46" s="75"/>
      <c r="J46" s="76"/>
    </row>
    <row r="47" spans="1:13" ht="13.65" customHeight="1" x14ac:dyDescent="0.25">
      <c r="A47" s="71"/>
      <c r="B47" s="75"/>
      <c r="C47" s="75"/>
      <c r="D47" s="75"/>
      <c r="E47" s="75"/>
      <c r="F47" s="75"/>
      <c r="G47" s="75"/>
      <c r="H47" s="75"/>
      <c r="I47" s="75"/>
      <c r="J47" s="76"/>
    </row>
    <row r="48" spans="1:13" ht="13.65" customHeight="1" x14ac:dyDescent="0.25">
      <c r="A48" s="71"/>
      <c r="B48" s="75"/>
      <c r="C48" s="75"/>
      <c r="D48" s="75"/>
      <c r="E48" s="75"/>
      <c r="F48" s="75"/>
      <c r="G48" s="75"/>
      <c r="H48" s="75"/>
      <c r="I48" s="75"/>
      <c r="J48" s="76"/>
    </row>
    <row r="49" spans="1:10" ht="13.65" customHeight="1" x14ac:dyDescent="0.25">
      <c r="A49" s="71"/>
      <c r="B49" s="75"/>
      <c r="C49" s="75"/>
      <c r="D49" s="75"/>
      <c r="E49" s="75"/>
      <c r="F49" s="75"/>
      <c r="G49" s="75"/>
      <c r="H49" s="75"/>
      <c r="I49" s="75"/>
      <c r="J49" s="76"/>
    </row>
    <row r="50" spans="1:10" ht="13.65" customHeight="1" x14ac:dyDescent="0.25">
      <c r="A50" s="71"/>
      <c r="B50" s="75"/>
      <c r="C50" s="75"/>
      <c r="D50" s="75"/>
      <c r="E50" s="75"/>
      <c r="F50" s="75"/>
      <c r="G50" s="75"/>
      <c r="H50" s="75"/>
      <c r="I50" s="75"/>
      <c r="J50" s="76"/>
    </row>
    <row r="51" spans="1:10" ht="13.65" customHeight="1" x14ac:dyDescent="0.25">
      <c r="A51" s="71"/>
      <c r="B51" s="75"/>
      <c r="C51" s="75"/>
      <c r="D51" s="75"/>
      <c r="E51" s="75"/>
      <c r="F51" s="75"/>
      <c r="G51" s="75"/>
      <c r="H51" s="75"/>
      <c r="I51" s="75"/>
      <c r="J51" s="76"/>
    </row>
    <row r="52" spans="1:10" ht="14.4" customHeight="1" x14ac:dyDescent="0.25">
      <c r="A52" s="71"/>
      <c r="B52" s="75"/>
      <c r="C52" s="75"/>
      <c r="D52" s="75"/>
      <c r="E52" s="75"/>
      <c r="F52" s="75"/>
      <c r="G52" s="75"/>
      <c r="H52" s="75"/>
      <c r="I52" s="75"/>
      <c r="J52" s="76"/>
    </row>
    <row r="53" spans="1:10" ht="14.4" customHeight="1" x14ac:dyDescent="0.25">
      <c r="A53" s="71"/>
      <c r="B53" s="75"/>
      <c r="C53" s="75"/>
      <c r="D53" s="75"/>
      <c r="E53" s="75"/>
      <c r="F53" s="75"/>
      <c r="G53" s="75"/>
      <c r="H53" s="75"/>
      <c r="I53" s="75"/>
      <c r="J53" s="76"/>
    </row>
    <row r="54" spans="1:10" ht="14.4" customHeight="1" thickBot="1" x14ac:dyDescent="0.3">
      <c r="A54" s="72"/>
      <c r="B54" s="77"/>
      <c r="C54" s="77"/>
      <c r="D54" s="77"/>
      <c r="E54" s="77"/>
      <c r="F54" s="77"/>
      <c r="G54" s="77"/>
      <c r="H54" s="77"/>
      <c r="I54" s="77"/>
      <c r="J54" s="78"/>
    </row>
  </sheetData>
  <dataConsolidate/>
  <mergeCells count="29">
    <mergeCell ref="M18:M19"/>
    <mergeCell ref="A45:A54"/>
    <mergeCell ref="B45:J54"/>
    <mergeCell ref="A38:A43"/>
    <mergeCell ref="B38:J43"/>
    <mergeCell ref="A21:A32"/>
    <mergeCell ref="K18:K19"/>
    <mergeCell ref="L18:L19"/>
    <mergeCell ref="C9:H9"/>
    <mergeCell ref="C11:H11"/>
    <mergeCell ref="A15:B15"/>
    <mergeCell ref="A10:B10"/>
    <mergeCell ref="C13:H13"/>
    <mergeCell ref="C14:H14"/>
    <mergeCell ref="C10:H10"/>
    <mergeCell ref="C15:H15"/>
    <mergeCell ref="A9:B9"/>
    <mergeCell ref="A11:B11"/>
    <mergeCell ref="A13:B13"/>
    <mergeCell ref="A14:B14"/>
    <mergeCell ref="A12:B12"/>
    <mergeCell ref="C12:H12"/>
    <mergeCell ref="C2:K4"/>
    <mergeCell ref="C7:H7"/>
    <mergeCell ref="A7:B7"/>
    <mergeCell ref="A8:B8"/>
    <mergeCell ref="C8:H8"/>
    <mergeCell ref="A6:B6"/>
    <mergeCell ref="C6:H6"/>
  </mergeCells>
  <dataValidations disablePrompts="1"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L12 J13:K14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AVADANLIK+TEPE LAMBASI+PROJEKTÖ</vt:lpstr>
      <vt:lpstr>'AVADANLIK+TEPE LAMBASI+PROJEKTÖ'!Yazdırma_Alanı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2026-05-18T10:44:35Z</dcterms:modified>
</cp:coreProperties>
</file>