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sman.ertugral\Desktop\Güvenlik Reaksiyon Polis Tim Aracı  24\"/>
    </mc:Choice>
  </mc:AlternateContent>
  <xr:revisionPtr revIDLastSave="0" documentId="13_ncr:1_{5DEEB983-9685-4283-895A-C8DB04B75695}" xr6:coauthVersionLast="47" xr6:coauthVersionMax="47" xr10:uidLastSave="{00000000-0000-0000-0000-000000000000}"/>
  <bookViews>
    <workbookView xWindow="-120" yWindow="-120" windowWidth="29040" windowHeight="15720" xr2:uid="{BA95FC1E-CD1B-490F-9A0C-080875F12861}"/>
  </bookViews>
  <sheets>
    <sheet name="Güvenlik Reaksiyon Polis Tim Ar" sheetId="6" r:id="rId1"/>
  </sheets>
  <definedNames>
    <definedName name="_xlnm.Print_Area" localSheetId="0">'Güvenlik Reaksiyon Polis Tim Ar'!$A$1:$L$55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8" i="6" l="1"/>
  <c r="L34" i="6"/>
  <c r="L18" i="6"/>
  <c r="L21" i="6"/>
  <c r="L22" i="6"/>
  <c r="L23" i="6"/>
  <c r="L24" i="6"/>
  <c r="L25" i="6"/>
  <c r="L26" i="6"/>
  <c r="L27" i="6"/>
  <c r="L29" i="6"/>
  <c r="L30" i="6"/>
  <c r="L31" i="6"/>
  <c r="L32" i="6"/>
  <c r="L33" i="6"/>
  <c r="L36" i="6" l="1"/>
  <c r="L37" i="6" s="1"/>
</calcChain>
</file>

<file path=xl/sharedStrings.xml><?xml version="1.0" encoding="utf-8"?>
<sst xmlns="http://schemas.openxmlformats.org/spreadsheetml/2006/main" count="90" uniqueCount="72">
  <si>
    <t>Kategori</t>
  </si>
  <si>
    <t>Birim</t>
  </si>
  <si>
    <t>Birim Fiyat</t>
  </si>
  <si>
    <t>Parça / Ürün Adı</t>
  </si>
  <si>
    <t>Marka</t>
  </si>
  <si>
    <t>Ölçü / Ebat</t>
  </si>
  <si>
    <t>Toplam Fiyat</t>
  </si>
  <si>
    <t>Görsel</t>
  </si>
  <si>
    <t>PROJE</t>
  </si>
  <si>
    <t>ÜSTYAPI</t>
  </si>
  <si>
    <t>RENK</t>
  </si>
  <si>
    <t>Euro</t>
  </si>
  <si>
    <t>TL</t>
  </si>
  <si>
    <t>Dolar</t>
  </si>
  <si>
    <t>ADET</t>
  </si>
  <si>
    <t>ÜLKE</t>
  </si>
  <si>
    <t>Yurtiçi</t>
  </si>
  <si>
    <t>KURUM / FİRMA</t>
  </si>
  <si>
    <t xml:space="preserve">MÜŞTERİ
ÖZEL NOTU </t>
  </si>
  <si>
    <t xml:space="preserve">SATIN ALMA
ÖZEL NOTU </t>
  </si>
  <si>
    <t>SATIN ALMA DEPARTMANI TARAFINDAN DOLDURULACAK</t>
  </si>
  <si>
    <t>Satın Alma Notu</t>
  </si>
  <si>
    <t>Parça Açıklaması</t>
  </si>
  <si>
    <t>Termin</t>
  </si>
  <si>
    <t>Satış Departmanı</t>
  </si>
  <si>
    <t>Satın Alma Departmanı</t>
  </si>
  <si>
    <t>Ürün &amp; ARGE Departmanı</t>
  </si>
  <si>
    <t xml:space="preserve">TEKLİF TÜRÜ </t>
  </si>
  <si>
    <t>OLUŞTURULAN TARİH</t>
  </si>
  <si>
    <t>TEKLİF VERİLECEK TARİH</t>
  </si>
  <si>
    <t>Teklif</t>
  </si>
  <si>
    <t>SVC</t>
  </si>
  <si>
    <t>ARAÇ</t>
  </si>
  <si>
    <t>Ürün 
Departmanı Notu</t>
  </si>
  <si>
    <t>ARMAS</t>
  </si>
  <si>
    <t>SİREN ANONS SİSTEMİ</t>
  </si>
  <si>
    <t>Araçta siren anons sistemi
3.2.4.7</t>
  </si>
  <si>
    <t>TELSİZ HAZIRLIĞI</t>
  </si>
  <si>
    <t>12 v tesisatı çekilmiş. Ve kablo uçları izole edilmiş
3.2.10.18</t>
  </si>
  <si>
    <t>En: 25 cm
Uzunluk: 100 cm
12 v, Renk
3.2.10.19</t>
  </si>
  <si>
    <t xml:space="preserve">ÇEKİÇ </t>
  </si>
  <si>
    <t>Ağaç saplı 1 KG</t>
  </si>
  <si>
    <t>TAKOZ</t>
  </si>
  <si>
    <t>Metal veya plastik</t>
  </si>
  <si>
    <t>ZİNCİR</t>
  </si>
  <si>
    <t>ÇEKİ HALATI</t>
  </si>
  <si>
    <t>LEVYE</t>
  </si>
  <si>
    <t>TABAN PASPASI</t>
  </si>
  <si>
    <t>KATLANABİLİR REFLEKTÖR</t>
  </si>
  <si>
    <t>KURBAĞACIK</t>
  </si>
  <si>
    <t>Ağız açıklığı 20mm en az</t>
  </si>
  <si>
    <t>DÜZ TORNAVİDA</t>
  </si>
  <si>
    <t>YILDIZ TORNAVİDA</t>
  </si>
  <si>
    <t>5 Parça</t>
  </si>
  <si>
    <t>AVADANLIK ÇANTASI</t>
  </si>
  <si>
    <t>Kurbağacık anahtarı, levye, tornavida setleri konulması için</t>
  </si>
  <si>
    <t>İLK YARDIM ÇANTASI</t>
  </si>
  <si>
    <t>Trafik Tüzüğüne uygun</t>
  </si>
  <si>
    <t>YANGIN SÖNDÜRME CİHAZI</t>
  </si>
  <si>
    <t>GÜVENLİK REAKSİYON POLİS TİM ARACI</t>
  </si>
  <si>
    <t>COURİER / CADDY</t>
  </si>
  <si>
    <t>MİLLİ SAVUNMA BAKANLIĞI / OTOKOÇ / DOĞUŞ</t>
  </si>
  <si>
    <t xml:space="preserve">BEYAZ VEYA RAL 9016 </t>
  </si>
  <si>
    <t>Mavi renkli</t>
  </si>
  <si>
    <t>4 teker için</t>
  </si>
  <si>
    <t>YAKIT</t>
  </si>
  <si>
    <t>Yarım Depo</t>
  </si>
  <si>
    <t>2 KG, Basınç Göstergeli</t>
  </si>
  <si>
    <t>TEPE LAMBASı</t>
  </si>
  <si>
    <t>litre</t>
  </si>
  <si>
    <t>adet</t>
  </si>
  <si>
    <t>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</si>
</sst>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₺&quot;* #,##0.00_-;\-&quot;₺&quot;* #,##0.00_-;_-&quot;₺&quot;* &quot;-&quot;??_-;_-@_-"/>
    <numFmt numFmtId="164" formatCode="_-[$€-2]\ * #,##0.00_-;\-[$€-2]\ * #,##0.00_-;_-[$€-2]\ * &quot;-&quot;??_-;_-@_-"/>
    <numFmt numFmtId="165" formatCode="_-[$₺-41F]* #,##0.00_-;\-[$₺-41F]* #,##0.00_-;_-[$₺-41F]* &quot;-&quot;??_-;_-@_-"/>
    <numFmt numFmtId="166" formatCode="_-[$$-409]* #,##0.00_ ;_-[$$-409]* \-#,##0.00\ ;_-[$$-409]* &quot;-&quot;??_ ;_-@_ "/>
  </numFmts>
  <fonts count="13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2"/>
      <scheme val="minor"/>
    </font>
    <font>
      <sz val="11"/>
      <color theme="1"/>
      <name val="Century Gothic"/>
      <family val="2"/>
      <charset val="162"/>
    </font>
    <font>
      <b/>
      <sz val="12"/>
      <color theme="1"/>
      <name val="Century Gothic"/>
      <family val="2"/>
      <charset val="162"/>
    </font>
    <font>
      <sz val="12"/>
      <color theme="1"/>
      <name val="Century Gothic"/>
      <family val="2"/>
      <charset val="162"/>
    </font>
    <font>
      <b/>
      <sz val="14"/>
      <color theme="1"/>
      <name val="Century Gothic"/>
      <family val="2"/>
      <charset val="162"/>
    </font>
    <font>
      <sz val="13"/>
      <color theme="1"/>
      <name val="Century Gothic"/>
      <family val="2"/>
      <charset val="162"/>
    </font>
    <font>
      <b/>
      <sz val="18"/>
      <color theme="1"/>
      <name val="Century Gothic"/>
      <family val="2"/>
      <charset val="162"/>
    </font>
    <font>
      <b/>
      <sz val="18"/>
      <color rgb="FFFF0000"/>
      <name val="Century Gothic"/>
      <family val="2"/>
      <charset val="162"/>
    </font>
    <font>
      <sz val="16"/>
      <color theme="1"/>
      <name val="Century Gothic"/>
      <family val="2"/>
      <charset val="162"/>
    </font>
    <font>
      <b/>
      <sz val="16"/>
      <color rgb="FFFF0000"/>
      <name val="Century Gothic"/>
      <family val="2"/>
      <charset val="162"/>
    </font>
    <font>
      <sz val="8"/>
      <name val="Aptos Narrow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4" fontId="2" fillId="0" borderId="0" applyFont="0" applyFill="0" applyBorder="0" applyAlignment="0" applyProtection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horizontal="center"/>
    </xf>
    <xf numFmtId="2" fontId="5" fillId="0" borderId="10" xfId="0" applyNumberFormat="1" applyFont="1" applyBorder="1" applyAlignment="1">
      <alignment horizontal="center"/>
    </xf>
    <xf numFmtId="2" fontId="5" fillId="0" borderId="12" xfId="0" applyNumberFormat="1" applyFont="1" applyBorder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44" fontId="7" fillId="0" borderId="0" xfId="2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5" fillId="4" borderId="27" xfId="0" applyFont="1" applyFill="1" applyBorder="1"/>
    <xf numFmtId="0" fontId="5" fillId="5" borderId="28" xfId="0" applyFont="1" applyFill="1" applyBorder="1"/>
    <xf numFmtId="0" fontId="5" fillId="3" borderId="29" xfId="0" applyFont="1" applyFill="1" applyBorder="1"/>
    <xf numFmtId="44" fontId="8" fillId="2" borderId="5" xfId="0" applyNumberFormat="1" applyFont="1" applyFill="1" applyBorder="1" applyAlignment="1">
      <alignment horizontal="right" vertical="center"/>
    </xf>
    <xf numFmtId="165" fontId="9" fillId="0" borderId="9" xfId="2" applyNumberFormat="1" applyFont="1" applyBorder="1" applyAlignment="1">
      <alignment horizontal="center" vertical="center"/>
    </xf>
    <xf numFmtId="164" fontId="9" fillId="0" borderId="12" xfId="2" applyNumberFormat="1" applyFont="1" applyBorder="1" applyAlignment="1">
      <alignment horizontal="center" vertical="center"/>
    </xf>
    <xf numFmtId="0" fontId="6" fillId="2" borderId="30" xfId="0" applyFont="1" applyFill="1" applyBorder="1"/>
    <xf numFmtId="0" fontId="6" fillId="2" borderId="31" xfId="0" applyFont="1" applyFill="1" applyBorder="1"/>
    <xf numFmtId="0" fontId="6" fillId="2" borderId="31" xfId="0" applyFont="1" applyFill="1" applyBorder="1" applyAlignment="1">
      <alignment horizontal="left"/>
    </xf>
    <xf numFmtId="0" fontId="4" fillId="0" borderId="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10" fillId="0" borderId="0" xfId="0" applyFont="1"/>
    <xf numFmtId="2" fontId="5" fillId="0" borderId="0" xfId="0" applyNumberFormat="1" applyFont="1" applyAlignment="1">
      <alignment horizontal="center"/>
    </xf>
    <xf numFmtId="0" fontId="7" fillId="4" borderId="1" xfId="0" applyFont="1" applyFill="1" applyBorder="1" applyAlignment="1">
      <alignment horizontal="center" vertical="center" wrapText="1"/>
    </xf>
    <xf numFmtId="165" fontId="7" fillId="3" borderId="1" xfId="2" applyNumberFormat="1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wrapText="1"/>
    </xf>
    <xf numFmtId="44" fontId="7" fillId="3" borderId="1" xfId="2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16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4" fontId="6" fillId="4" borderId="2" xfId="0" applyNumberFormat="1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14" fontId="6" fillId="4" borderId="18" xfId="0" applyNumberFormat="1" applyFont="1" applyFill="1" applyBorder="1" applyAlignment="1">
      <alignment horizontal="center"/>
    </xf>
    <xf numFmtId="0" fontId="6" fillId="4" borderId="18" xfId="0" applyFont="1" applyFill="1" applyBorder="1" applyAlignment="1">
      <alignment horizontal="center"/>
    </xf>
    <xf numFmtId="0" fontId="6" fillId="4" borderId="19" xfId="0" applyFont="1" applyFill="1" applyBorder="1" applyAlignment="1">
      <alignment horizontal="center"/>
    </xf>
    <xf numFmtId="0" fontId="11" fillId="0" borderId="25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0" fillId="4" borderId="18" xfId="0" quotePrefix="1" applyFont="1" applyFill="1" applyBorder="1" applyAlignment="1">
      <alignment horizontal="center" vertical="center" wrapText="1"/>
    </xf>
    <xf numFmtId="0" fontId="10" fillId="4" borderId="18" xfId="0" applyFont="1" applyFill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21" xfId="0" applyFont="1" applyFill="1" applyBorder="1" applyAlignment="1">
      <alignment horizontal="center" vertical="center" wrapText="1"/>
    </xf>
    <xf numFmtId="0" fontId="10" fillId="4" borderId="23" xfId="0" applyFont="1" applyFill="1" applyBorder="1" applyAlignment="1">
      <alignment horizontal="center" vertical="center" wrapText="1"/>
    </xf>
    <xf numFmtId="0" fontId="10" fillId="4" borderId="24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/>
    </xf>
    <xf numFmtId="0" fontId="6" fillId="4" borderId="21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0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4" borderId="23" xfId="0" applyFont="1" applyFill="1" applyBorder="1" applyAlignment="1">
      <alignment horizontal="center"/>
    </xf>
    <xf numFmtId="0" fontId="6" fillId="4" borderId="24" xfId="0" applyFont="1" applyFill="1" applyBorder="1" applyAlignment="1">
      <alignment horizontal="center"/>
    </xf>
    <xf numFmtId="0" fontId="7" fillId="3" borderId="32" xfId="0" applyFont="1" applyFill="1" applyBorder="1" applyAlignment="1">
      <alignment horizontal="center" vertical="center" wrapText="1"/>
    </xf>
    <xf numFmtId="0" fontId="7" fillId="3" borderId="33" xfId="0" applyFont="1" applyFill="1" applyBorder="1" applyAlignment="1">
      <alignment horizontal="center" vertical="center" wrapText="1"/>
    </xf>
    <xf numFmtId="0" fontId="7" fillId="3" borderId="34" xfId="0" applyFont="1" applyFill="1" applyBorder="1" applyAlignment="1">
      <alignment horizontal="center" vertical="center" wrapText="1"/>
    </xf>
    <xf numFmtId="166" fontId="7" fillId="3" borderId="32" xfId="2" applyNumberFormat="1" applyFont="1" applyFill="1" applyBorder="1" applyAlignment="1">
      <alignment horizontal="center" vertical="center"/>
    </xf>
    <xf numFmtId="166" fontId="7" fillId="3" borderId="33" xfId="2" applyNumberFormat="1" applyFont="1" applyFill="1" applyBorder="1" applyAlignment="1">
      <alignment horizontal="center" vertical="center"/>
    </xf>
    <xf numFmtId="166" fontId="7" fillId="3" borderId="34" xfId="2" applyNumberFormat="1" applyFont="1" applyFill="1" applyBorder="1" applyAlignment="1">
      <alignment horizontal="center" vertical="center"/>
    </xf>
    <xf numFmtId="165" fontId="7" fillId="3" borderId="32" xfId="2" applyNumberFormat="1" applyFont="1" applyFill="1" applyBorder="1" applyAlignment="1">
      <alignment horizontal="center" vertical="center"/>
    </xf>
    <xf numFmtId="165" fontId="7" fillId="3" borderId="33" xfId="2" applyNumberFormat="1" applyFont="1" applyFill="1" applyBorder="1" applyAlignment="1">
      <alignment horizontal="center" vertical="center"/>
    </xf>
    <xf numFmtId="165" fontId="7" fillId="3" borderId="34" xfId="2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1" xr:uid="{B4716F7D-D368-4BBC-B121-95FEF976DFCE}"/>
    <cellStyle name="ParaBirimi" xfId="2" builtinId="4"/>
  </cellStyles>
  <dxfs count="0"/>
  <tableStyles count="0" defaultTableStyle="TableStyleMedium2" defaultPivotStyle="PivotStyleLight16"/>
  <colors>
    <mruColors>
      <color rgb="FFFFFF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873652</xdr:colOff>
      <xdr:row>1</xdr:row>
      <xdr:rowOff>134472</xdr:rowOff>
    </xdr:from>
    <xdr:to>
      <xdr:col>8</xdr:col>
      <xdr:colOff>2120562</xdr:colOff>
      <xdr:row>3</xdr:row>
      <xdr:rowOff>466980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1085FF84-08A7-119F-CBF4-A25E06975E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7956"/>
        <a:stretch>
          <a:fillRect/>
        </a:stretch>
      </xdr:blipFill>
      <xdr:spPr>
        <a:xfrm>
          <a:off x="10367276" y="286872"/>
          <a:ext cx="5836839" cy="13993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42AA2-11EF-4A58-9CFA-A818A514864B}">
  <sheetPr>
    <pageSetUpPr fitToPage="1"/>
  </sheetPr>
  <dimension ref="A1:N55"/>
  <sheetViews>
    <sheetView tabSelected="1" topLeftCell="A14" zoomScale="70" zoomScaleNormal="70" workbookViewId="0">
      <selection activeCell="J35" sqref="J35"/>
    </sheetView>
  </sheetViews>
  <sheetFormatPr defaultColWidth="9.140625" defaultRowHeight="16.5" x14ac:dyDescent="0.3"/>
  <cols>
    <col min="1" max="1" width="28.7109375" style="1" customWidth="1"/>
    <col min="2" max="2" width="33.7109375" style="1" customWidth="1"/>
    <col min="3" max="3" width="34" style="1" customWidth="1"/>
    <col min="4" max="4" width="35.85546875" style="1" customWidth="1"/>
    <col min="5" max="5" width="37.42578125" style="1" customWidth="1"/>
    <col min="6" max="6" width="21.5703125" style="1" customWidth="1"/>
    <col min="7" max="7" width="17.28515625" style="1" customWidth="1"/>
    <col min="8" max="8" width="15.42578125" style="1" customWidth="1"/>
    <col min="9" max="9" width="71.85546875" style="1" customWidth="1"/>
    <col min="10" max="10" width="23.140625" style="1" customWidth="1"/>
    <col min="11" max="11" width="20.7109375" style="3" customWidth="1"/>
    <col min="12" max="12" width="25.140625" style="1" customWidth="1"/>
    <col min="13" max="16384" width="9.140625" style="1"/>
  </cols>
  <sheetData>
    <row r="1" spans="1:14" ht="12" customHeight="1" thickBot="1" x14ac:dyDescent="0.35"/>
    <row r="2" spans="1:14" ht="42.6" customHeight="1" x14ac:dyDescent="0.3">
      <c r="A2" s="17"/>
      <c r="B2" s="26" t="s">
        <v>24</v>
      </c>
      <c r="C2" s="42"/>
      <c r="D2" s="43"/>
      <c r="E2" s="43"/>
      <c r="F2" s="43"/>
      <c r="G2" s="43"/>
      <c r="H2" s="43"/>
      <c r="I2" s="43"/>
      <c r="J2" s="43"/>
      <c r="K2" s="44"/>
    </row>
    <row r="3" spans="1:14" ht="41.45" customHeight="1" x14ac:dyDescent="0.3">
      <c r="A3" s="18"/>
      <c r="B3" s="27" t="s">
        <v>26</v>
      </c>
      <c r="C3" s="45"/>
      <c r="D3" s="46"/>
      <c r="E3" s="46"/>
      <c r="F3" s="46"/>
      <c r="G3" s="46"/>
      <c r="H3" s="46"/>
      <c r="I3" s="46"/>
      <c r="J3" s="46"/>
      <c r="K3" s="47"/>
    </row>
    <row r="4" spans="1:14" ht="41.45" customHeight="1" thickBot="1" x14ac:dyDescent="0.35">
      <c r="A4" s="19"/>
      <c r="B4" s="28" t="s">
        <v>25</v>
      </c>
      <c r="C4" s="48"/>
      <c r="D4" s="49"/>
      <c r="E4" s="49"/>
      <c r="F4" s="49"/>
      <c r="G4" s="49"/>
      <c r="H4" s="49"/>
      <c r="I4" s="49"/>
      <c r="J4" s="49"/>
      <c r="K4" s="50"/>
    </row>
    <row r="5" spans="1:14" ht="33" customHeight="1" thickBot="1" x14ac:dyDescent="0.35">
      <c r="C5" s="5"/>
      <c r="K5" s="1"/>
    </row>
    <row r="6" spans="1:14" ht="18.75" x14ac:dyDescent="0.3">
      <c r="A6" s="52" t="s">
        <v>28</v>
      </c>
      <c r="B6" s="53"/>
      <c r="C6" s="54">
        <v>46134</v>
      </c>
      <c r="D6" s="55"/>
      <c r="E6" s="55"/>
      <c r="F6" s="55"/>
      <c r="G6" s="55"/>
      <c r="H6" s="56"/>
      <c r="K6" s="1"/>
    </row>
    <row r="7" spans="1:14" ht="18.75" x14ac:dyDescent="0.3">
      <c r="A7" s="37" t="s">
        <v>29</v>
      </c>
      <c r="B7" s="38"/>
      <c r="C7" s="51">
        <v>46139</v>
      </c>
      <c r="D7" s="40"/>
      <c r="E7" s="40"/>
      <c r="F7" s="40"/>
      <c r="G7" s="40"/>
      <c r="H7" s="41"/>
      <c r="K7" s="1"/>
    </row>
    <row r="8" spans="1:14" ht="20.45" customHeight="1" x14ac:dyDescent="0.3">
      <c r="A8" s="37" t="s">
        <v>27</v>
      </c>
      <c r="B8" s="38"/>
      <c r="C8" s="39" t="s">
        <v>30</v>
      </c>
      <c r="D8" s="40"/>
      <c r="E8" s="40"/>
      <c r="F8" s="40"/>
      <c r="G8" s="40"/>
      <c r="H8" s="41"/>
      <c r="K8" s="1"/>
    </row>
    <row r="9" spans="1:14" s="4" customFormat="1" ht="18.95" customHeight="1" thickBot="1" x14ac:dyDescent="0.35">
      <c r="A9" s="80" t="s">
        <v>8</v>
      </c>
      <c r="B9" s="81"/>
      <c r="C9" s="76" t="s">
        <v>31</v>
      </c>
      <c r="D9" s="76"/>
      <c r="E9" s="76"/>
      <c r="F9" s="76"/>
      <c r="G9" s="76"/>
      <c r="H9" s="77"/>
      <c r="I9" s="1"/>
      <c r="J9" s="1"/>
    </row>
    <row r="10" spans="1:14" s="4" customFormat="1" ht="20.45" customHeight="1" x14ac:dyDescent="0.3">
      <c r="A10" s="80" t="s">
        <v>15</v>
      </c>
      <c r="B10" s="81"/>
      <c r="C10" s="76" t="s">
        <v>16</v>
      </c>
      <c r="D10" s="76"/>
      <c r="E10" s="76"/>
      <c r="F10" s="76"/>
      <c r="G10" s="76"/>
      <c r="H10" s="77"/>
      <c r="I10" s="1"/>
      <c r="J10" s="29" t="s">
        <v>13</v>
      </c>
      <c r="K10" s="30" t="s">
        <v>11</v>
      </c>
    </row>
    <row r="11" spans="1:14" s="4" customFormat="1" ht="21" customHeight="1" thickBot="1" x14ac:dyDescent="0.35">
      <c r="A11" s="80" t="s">
        <v>9</v>
      </c>
      <c r="B11" s="81"/>
      <c r="C11" s="76" t="s">
        <v>59</v>
      </c>
      <c r="D11" s="76"/>
      <c r="E11" s="76"/>
      <c r="F11" s="76"/>
      <c r="G11" s="76"/>
      <c r="H11" s="77"/>
      <c r="I11" s="1"/>
      <c r="J11" s="6">
        <v>44.42</v>
      </c>
      <c r="K11" s="7">
        <v>51.531700000000001</v>
      </c>
      <c r="L11" s="1"/>
      <c r="M11" s="1"/>
    </row>
    <row r="12" spans="1:14" s="4" customFormat="1" ht="21" customHeight="1" x14ac:dyDescent="0.3">
      <c r="A12" s="37" t="s">
        <v>32</v>
      </c>
      <c r="B12" s="38"/>
      <c r="C12" s="39" t="s">
        <v>60</v>
      </c>
      <c r="D12" s="40"/>
      <c r="E12" s="40"/>
      <c r="F12" s="40"/>
      <c r="G12" s="40"/>
      <c r="H12" s="41"/>
      <c r="I12" s="1"/>
      <c r="J12" s="32"/>
      <c r="K12" s="32"/>
      <c r="L12" s="1"/>
      <c r="M12" s="1"/>
    </row>
    <row r="13" spans="1:14" s="4" customFormat="1" ht="21" customHeight="1" x14ac:dyDescent="0.3">
      <c r="A13" s="80" t="s">
        <v>17</v>
      </c>
      <c r="B13" s="81"/>
      <c r="C13" s="76" t="s">
        <v>61</v>
      </c>
      <c r="D13" s="76"/>
      <c r="E13" s="76"/>
      <c r="F13" s="76"/>
      <c r="G13" s="76"/>
      <c r="H13" s="77"/>
      <c r="I13" s="1"/>
      <c r="J13" s="1"/>
      <c r="K13" s="1"/>
      <c r="L13" s="1"/>
      <c r="M13" s="1"/>
      <c r="N13" s="1"/>
    </row>
    <row r="14" spans="1:14" s="4" customFormat="1" ht="21" customHeight="1" x14ac:dyDescent="0.3">
      <c r="A14" s="80" t="s">
        <v>10</v>
      </c>
      <c r="B14" s="81"/>
      <c r="C14" s="76" t="s">
        <v>62</v>
      </c>
      <c r="D14" s="76"/>
      <c r="E14" s="76"/>
      <c r="F14" s="76"/>
      <c r="G14" s="76"/>
      <c r="H14" s="77"/>
      <c r="I14" s="1"/>
      <c r="J14" s="1"/>
      <c r="K14" s="1"/>
      <c r="L14" s="1"/>
      <c r="M14" s="1"/>
      <c r="N14" s="1"/>
    </row>
    <row r="15" spans="1:14" s="4" customFormat="1" ht="18.95" customHeight="1" thickBot="1" x14ac:dyDescent="0.35">
      <c r="A15" s="78" t="s">
        <v>14</v>
      </c>
      <c r="B15" s="79"/>
      <c r="C15" s="82">
        <v>24</v>
      </c>
      <c r="D15" s="82"/>
      <c r="E15" s="82"/>
      <c r="F15" s="82"/>
      <c r="G15" s="82"/>
      <c r="H15" s="83"/>
      <c r="I15" s="1"/>
      <c r="J15" s="1"/>
      <c r="K15" s="1"/>
      <c r="L15" s="1"/>
      <c r="M15" s="1"/>
    </row>
    <row r="16" spans="1:14" ht="18.600000000000001" customHeight="1" thickBot="1" x14ac:dyDescent="0.35">
      <c r="K16" s="1"/>
    </row>
    <row r="17" spans="1:12" ht="58.15" customHeight="1" x14ac:dyDescent="0.3">
      <c r="A17" s="23" t="s">
        <v>0</v>
      </c>
      <c r="B17" s="24" t="s">
        <v>3</v>
      </c>
      <c r="C17" s="24" t="s">
        <v>22</v>
      </c>
      <c r="D17" s="24" t="s">
        <v>4</v>
      </c>
      <c r="E17" s="24" t="s">
        <v>7</v>
      </c>
      <c r="F17" s="35" t="s">
        <v>33</v>
      </c>
      <c r="G17" s="24" t="s">
        <v>5</v>
      </c>
      <c r="H17" s="24" t="s">
        <v>1</v>
      </c>
      <c r="I17" s="25" t="s">
        <v>21</v>
      </c>
      <c r="J17" s="24" t="s">
        <v>23</v>
      </c>
      <c r="K17" s="24" t="s">
        <v>2</v>
      </c>
      <c r="L17" s="24" t="s">
        <v>6</v>
      </c>
    </row>
    <row r="18" spans="1:12" ht="33" x14ac:dyDescent="0.3">
      <c r="A18" s="14" t="s">
        <v>35</v>
      </c>
      <c r="B18" s="33"/>
      <c r="C18" s="33" t="s">
        <v>36</v>
      </c>
      <c r="D18" s="14" t="s">
        <v>34</v>
      </c>
      <c r="E18" s="15"/>
      <c r="F18" s="15"/>
      <c r="G18" s="15">
        <v>1</v>
      </c>
      <c r="H18" s="15" t="s">
        <v>71</v>
      </c>
      <c r="I18" s="16"/>
      <c r="J18" s="84"/>
      <c r="K18" s="87">
        <v>810</v>
      </c>
      <c r="L18" s="90">
        <f>K18*J11</f>
        <v>35980.200000000004</v>
      </c>
    </row>
    <row r="19" spans="1:12" ht="49.5" x14ac:dyDescent="0.3">
      <c r="A19" s="14" t="s">
        <v>37</v>
      </c>
      <c r="B19" s="33"/>
      <c r="C19" s="33" t="s">
        <v>38</v>
      </c>
      <c r="D19" s="14" t="s">
        <v>34</v>
      </c>
      <c r="E19" s="15"/>
      <c r="F19" s="15"/>
      <c r="G19" s="15">
        <v>1</v>
      </c>
      <c r="H19" s="15" t="s">
        <v>71</v>
      </c>
      <c r="I19" s="16"/>
      <c r="J19" s="85"/>
      <c r="K19" s="88"/>
      <c r="L19" s="91"/>
    </row>
    <row r="20" spans="1:12" ht="66" x14ac:dyDescent="0.3">
      <c r="A20" s="14" t="s">
        <v>68</v>
      </c>
      <c r="B20" s="33" t="s">
        <v>63</v>
      </c>
      <c r="C20" s="33" t="s">
        <v>39</v>
      </c>
      <c r="D20" s="33" t="s">
        <v>34</v>
      </c>
      <c r="E20" s="15"/>
      <c r="F20" s="15"/>
      <c r="G20" s="15">
        <v>1</v>
      </c>
      <c r="H20" s="15" t="s">
        <v>70</v>
      </c>
      <c r="I20" s="16"/>
      <c r="J20" s="86"/>
      <c r="K20" s="89"/>
      <c r="L20" s="92"/>
    </row>
    <row r="21" spans="1:12" x14ac:dyDescent="0.3">
      <c r="A21" s="14" t="s">
        <v>40</v>
      </c>
      <c r="B21" s="33"/>
      <c r="C21" s="33" t="s">
        <v>41</v>
      </c>
      <c r="D21" s="14"/>
      <c r="E21" s="15"/>
      <c r="F21" s="15"/>
      <c r="G21" s="15">
        <v>1</v>
      </c>
      <c r="H21" s="15" t="s">
        <v>70</v>
      </c>
      <c r="I21" s="16"/>
      <c r="J21" s="16"/>
      <c r="K21" s="36">
        <v>160</v>
      </c>
      <c r="L21" s="34">
        <f t="shared" ref="L19:L34" si="0">K21*G21</f>
        <v>160</v>
      </c>
    </row>
    <row r="22" spans="1:12" x14ac:dyDescent="0.3">
      <c r="A22" s="14" t="s">
        <v>42</v>
      </c>
      <c r="B22" s="33"/>
      <c r="C22" s="33" t="s">
        <v>43</v>
      </c>
      <c r="D22" s="14"/>
      <c r="E22" s="15"/>
      <c r="F22" s="15"/>
      <c r="G22" s="15">
        <v>1</v>
      </c>
      <c r="H22" s="15" t="s">
        <v>70</v>
      </c>
      <c r="I22" s="16"/>
      <c r="J22" s="16"/>
      <c r="K22" s="34">
        <v>350</v>
      </c>
      <c r="L22" s="34">
        <f t="shared" si="0"/>
        <v>350</v>
      </c>
    </row>
    <row r="23" spans="1:12" x14ac:dyDescent="0.3">
      <c r="A23" s="14" t="s">
        <v>44</v>
      </c>
      <c r="B23" s="33"/>
      <c r="C23" s="33" t="s">
        <v>64</v>
      </c>
      <c r="D23" s="14"/>
      <c r="E23" s="15"/>
      <c r="F23" s="15"/>
      <c r="G23" s="15">
        <v>4</v>
      </c>
      <c r="H23" s="15" t="s">
        <v>70</v>
      </c>
      <c r="I23" s="16"/>
      <c r="J23" s="16"/>
      <c r="K23" s="36">
        <v>1530</v>
      </c>
      <c r="L23" s="34">
        <f t="shared" si="0"/>
        <v>6120</v>
      </c>
    </row>
    <row r="24" spans="1:12" x14ac:dyDescent="0.3">
      <c r="A24" s="14" t="s">
        <v>45</v>
      </c>
      <c r="B24" s="33"/>
      <c r="C24" s="33"/>
      <c r="D24" s="14"/>
      <c r="E24" s="15"/>
      <c r="F24" s="15"/>
      <c r="G24" s="15">
        <v>1</v>
      </c>
      <c r="H24" s="15" t="s">
        <v>70</v>
      </c>
      <c r="I24" s="16"/>
      <c r="J24" s="16"/>
      <c r="K24" s="36">
        <v>685</v>
      </c>
      <c r="L24" s="34">
        <f t="shared" si="0"/>
        <v>685</v>
      </c>
    </row>
    <row r="25" spans="1:12" x14ac:dyDescent="0.3">
      <c r="A25" s="14" t="s">
        <v>46</v>
      </c>
      <c r="B25" s="33"/>
      <c r="C25" s="33"/>
      <c r="D25" s="14"/>
      <c r="E25" s="15"/>
      <c r="F25" s="15"/>
      <c r="G25" s="15">
        <v>1</v>
      </c>
      <c r="H25" s="15" t="s">
        <v>70</v>
      </c>
      <c r="I25" s="16"/>
      <c r="J25" s="16"/>
      <c r="K25" s="36">
        <v>290</v>
      </c>
      <c r="L25" s="34">
        <f t="shared" si="0"/>
        <v>290</v>
      </c>
    </row>
    <row r="26" spans="1:12" x14ac:dyDescent="0.3">
      <c r="A26" s="33" t="s">
        <v>47</v>
      </c>
      <c r="B26" s="33"/>
      <c r="C26" s="33"/>
      <c r="D26" s="33"/>
      <c r="E26" s="15"/>
      <c r="F26" s="15"/>
      <c r="G26" s="15">
        <v>1</v>
      </c>
      <c r="H26" s="15" t="s">
        <v>70</v>
      </c>
      <c r="I26" s="16"/>
      <c r="J26" s="16"/>
      <c r="K26" s="36">
        <v>1050</v>
      </c>
      <c r="L26" s="34">
        <f t="shared" si="0"/>
        <v>1050</v>
      </c>
    </row>
    <row r="27" spans="1:12" ht="33" x14ac:dyDescent="0.3">
      <c r="A27" s="33" t="s">
        <v>48</v>
      </c>
      <c r="B27" s="33"/>
      <c r="C27" s="33"/>
      <c r="D27" s="14"/>
      <c r="E27" s="15"/>
      <c r="F27" s="15"/>
      <c r="G27" s="15">
        <v>1</v>
      </c>
      <c r="H27" s="15" t="s">
        <v>70</v>
      </c>
      <c r="I27" s="16"/>
      <c r="J27" s="16"/>
      <c r="K27" s="36">
        <v>95</v>
      </c>
      <c r="L27" s="34">
        <f t="shared" si="0"/>
        <v>95</v>
      </c>
    </row>
    <row r="28" spans="1:12" x14ac:dyDescent="0.3">
      <c r="A28" s="33" t="s">
        <v>49</v>
      </c>
      <c r="B28" s="33"/>
      <c r="C28" s="33" t="s">
        <v>50</v>
      </c>
      <c r="D28" s="14"/>
      <c r="E28" s="15"/>
      <c r="F28" s="15"/>
      <c r="G28" s="15">
        <v>1</v>
      </c>
      <c r="H28" s="15" t="s">
        <v>70</v>
      </c>
      <c r="I28" s="16"/>
      <c r="J28" s="16"/>
      <c r="K28" s="36">
        <v>475</v>
      </c>
      <c r="L28" s="34">
        <f>K28*G28</f>
        <v>475</v>
      </c>
    </row>
    <row r="29" spans="1:12" x14ac:dyDescent="0.3">
      <c r="A29" s="33" t="s">
        <v>51</v>
      </c>
      <c r="B29" s="33"/>
      <c r="C29" s="33" t="s">
        <v>53</v>
      </c>
      <c r="D29" s="14"/>
      <c r="E29" s="15"/>
      <c r="F29" s="15"/>
      <c r="G29" s="15">
        <v>1</v>
      </c>
      <c r="H29" s="15" t="s">
        <v>71</v>
      </c>
      <c r="I29" s="16"/>
      <c r="J29" s="16"/>
      <c r="K29" s="36">
        <v>550</v>
      </c>
      <c r="L29" s="34">
        <f t="shared" si="0"/>
        <v>550</v>
      </c>
    </row>
    <row r="30" spans="1:12" x14ac:dyDescent="0.3">
      <c r="A30" s="33" t="s">
        <v>52</v>
      </c>
      <c r="B30" s="33"/>
      <c r="C30" s="33" t="s">
        <v>53</v>
      </c>
      <c r="D30" s="14"/>
      <c r="E30" s="15"/>
      <c r="F30" s="15"/>
      <c r="G30" s="15">
        <v>1</v>
      </c>
      <c r="H30" s="15" t="s">
        <v>71</v>
      </c>
      <c r="I30" s="16"/>
      <c r="J30" s="16"/>
      <c r="K30" s="36">
        <v>550</v>
      </c>
      <c r="L30" s="34">
        <f t="shared" si="0"/>
        <v>550</v>
      </c>
    </row>
    <row r="31" spans="1:12" ht="55.15" customHeight="1" x14ac:dyDescent="0.3">
      <c r="A31" s="33" t="s">
        <v>54</v>
      </c>
      <c r="B31" s="33"/>
      <c r="C31" s="33" t="s">
        <v>55</v>
      </c>
      <c r="D31" s="14"/>
      <c r="E31" s="15"/>
      <c r="F31" s="15"/>
      <c r="G31" s="15">
        <v>1</v>
      </c>
      <c r="H31" s="15" t="s">
        <v>70</v>
      </c>
      <c r="I31" s="16"/>
      <c r="J31" s="16"/>
      <c r="K31" s="36">
        <v>360</v>
      </c>
      <c r="L31" s="34">
        <f t="shared" si="0"/>
        <v>360</v>
      </c>
    </row>
    <row r="32" spans="1:12" x14ac:dyDescent="0.3">
      <c r="A32" s="33" t="s">
        <v>56</v>
      </c>
      <c r="B32" s="33"/>
      <c r="C32" s="33" t="s">
        <v>57</v>
      </c>
      <c r="D32" s="14"/>
      <c r="E32" s="15"/>
      <c r="F32" s="15"/>
      <c r="G32" s="15">
        <v>1</v>
      </c>
      <c r="H32" s="15" t="s">
        <v>70</v>
      </c>
      <c r="I32" s="16"/>
      <c r="J32" s="16"/>
      <c r="K32" s="34">
        <v>250</v>
      </c>
      <c r="L32" s="34">
        <f t="shared" si="0"/>
        <v>250</v>
      </c>
    </row>
    <row r="33" spans="1:12" ht="33" x14ac:dyDescent="0.3">
      <c r="A33" s="33" t="s">
        <v>58</v>
      </c>
      <c r="B33" s="33"/>
      <c r="C33" s="33" t="s">
        <v>67</v>
      </c>
      <c r="D33" s="14"/>
      <c r="E33" s="15"/>
      <c r="F33" s="15"/>
      <c r="G33" s="15">
        <v>1</v>
      </c>
      <c r="H33" s="15" t="s">
        <v>70</v>
      </c>
      <c r="I33" s="16"/>
      <c r="J33" s="16"/>
      <c r="K33" s="34">
        <v>800</v>
      </c>
      <c r="L33" s="34">
        <f t="shared" si="0"/>
        <v>800</v>
      </c>
    </row>
    <row r="34" spans="1:12" x14ac:dyDescent="0.3">
      <c r="A34" s="33" t="s">
        <v>65</v>
      </c>
      <c r="B34" s="33"/>
      <c r="C34" s="33" t="s">
        <v>66</v>
      </c>
      <c r="D34" s="14"/>
      <c r="E34" s="15"/>
      <c r="F34" s="15"/>
      <c r="G34" s="15">
        <v>22</v>
      </c>
      <c r="H34" s="15" t="s">
        <v>69</v>
      </c>
      <c r="I34" s="16"/>
      <c r="J34" s="16"/>
      <c r="K34" s="36">
        <v>75</v>
      </c>
      <c r="L34" s="34">
        <f t="shared" si="0"/>
        <v>1650</v>
      </c>
    </row>
    <row r="35" spans="1:12" ht="27.6" customHeight="1" thickBot="1" x14ac:dyDescent="0.35">
      <c r="A35" s="8"/>
      <c r="B35" s="9"/>
      <c r="C35" s="8"/>
      <c r="D35" s="10"/>
      <c r="E35" s="10"/>
      <c r="F35" s="10"/>
      <c r="G35" s="10"/>
      <c r="H35" s="11"/>
      <c r="I35" s="9"/>
      <c r="J35" s="12"/>
      <c r="K35" s="13"/>
      <c r="L35" s="13"/>
    </row>
    <row r="36" spans="1:12" ht="27.6" customHeight="1" thickBot="1" x14ac:dyDescent="0.35">
      <c r="A36" s="8"/>
      <c r="B36" s="9"/>
      <c r="C36" s="8"/>
      <c r="D36" s="10"/>
      <c r="E36" s="10"/>
      <c r="F36" s="10"/>
      <c r="G36" s="10"/>
      <c r="H36" s="11"/>
      <c r="I36" s="9"/>
      <c r="J36" s="12"/>
      <c r="K36" s="20" t="s">
        <v>12</v>
      </c>
      <c r="L36" s="21">
        <f>SUM(L18:L35)</f>
        <v>49365.200000000004</v>
      </c>
    </row>
    <row r="37" spans="1:12" ht="27.6" customHeight="1" thickBot="1" x14ac:dyDescent="0.35">
      <c r="A37" s="8"/>
      <c r="B37" s="9"/>
      <c r="C37" s="8"/>
      <c r="D37" s="10"/>
      <c r="E37" s="10"/>
      <c r="F37" s="10"/>
      <c r="G37" s="10"/>
      <c r="H37" s="11"/>
      <c r="I37" s="9"/>
      <c r="J37" s="12"/>
      <c r="K37" s="20" t="s">
        <v>11</v>
      </c>
      <c r="L37" s="22">
        <f>L36/K11</f>
        <v>957.95791716555061</v>
      </c>
    </row>
    <row r="38" spans="1:12" ht="20.45" customHeight="1" thickBo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L38" s="2"/>
    </row>
    <row r="39" spans="1:12" ht="17.25" customHeight="1" x14ac:dyDescent="0.3">
      <c r="A39" s="66" t="s">
        <v>18</v>
      </c>
      <c r="B39" s="69"/>
      <c r="C39" s="70"/>
      <c r="D39" s="70"/>
      <c r="E39" s="70"/>
      <c r="F39" s="70"/>
      <c r="G39" s="70"/>
      <c r="H39" s="70"/>
      <c r="I39" s="70"/>
      <c r="J39" s="71"/>
    </row>
    <row r="40" spans="1:12" x14ac:dyDescent="0.3">
      <c r="A40" s="67"/>
      <c r="B40" s="72"/>
      <c r="C40" s="72"/>
      <c r="D40" s="72"/>
      <c r="E40" s="72"/>
      <c r="F40" s="72"/>
      <c r="G40" s="72"/>
      <c r="H40" s="72"/>
      <c r="I40" s="72"/>
      <c r="J40" s="73"/>
    </row>
    <row r="41" spans="1:12" x14ac:dyDescent="0.3">
      <c r="A41" s="67"/>
      <c r="B41" s="72"/>
      <c r="C41" s="72"/>
      <c r="D41" s="72"/>
      <c r="E41" s="72"/>
      <c r="F41" s="72"/>
      <c r="G41" s="72"/>
      <c r="H41" s="72"/>
      <c r="I41" s="72"/>
      <c r="J41" s="73"/>
    </row>
    <row r="42" spans="1:12" ht="51" customHeight="1" x14ac:dyDescent="0.3">
      <c r="A42" s="67"/>
      <c r="B42" s="72"/>
      <c r="C42" s="72"/>
      <c r="D42" s="72"/>
      <c r="E42" s="72"/>
      <c r="F42" s="72"/>
      <c r="G42" s="72"/>
      <c r="H42" s="72"/>
      <c r="I42" s="72"/>
      <c r="J42" s="73"/>
    </row>
    <row r="43" spans="1:12" x14ac:dyDescent="0.3">
      <c r="A43" s="67"/>
      <c r="B43" s="72"/>
      <c r="C43" s="72"/>
      <c r="D43" s="72"/>
      <c r="E43" s="72"/>
      <c r="F43" s="72"/>
      <c r="G43" s="72"/>
      <c r="H43" s="72"/>
      <c r="I43" s="72"/>
      <c r="J43" s="73"/>
    </row>
    <row r="44" spans="1:12" ht="17.25" thickBot="1" x14ac:dyDescent="0.35">
      <c r="A44" s="68"/>
      <c r="B44" s="74"/>
      <c r="C44" s="74"/>
      <c r="D44" s="74"/>
      <c r="E44" s="74"/>
      <c r="F44" s="74"/>
      <c r="G44" s="74"/>
      <c r="H44" s="74"/>
      <c r="I44" s="74"/>
      <c r="J44" s="75"/>
    </row>
    <row r="45" spans="1:12" ht="21" thickBot="1" x14ac:dyDescent="0.35">
      <c r="A45" s="31"/>
    </row>
    <row r="46" spans="1:12" ht="13.9" customHeight="1" x14ac:dyDescent="0.3">
      <c r="A46" s="57" t="s">
        <v>19</v>
      </c>
      <c r="B46" s="60" t="s">
        <v>20</v>
      </c>
      <c r="C46" s="60"/>
      <c r="D46" s="60"/>
      <c r="E46" s="60"/>
      <c r="F46" s="60"/>
      <c r="G46" s="60"/>
      <c r="H46" s="60"/>
      <c r="I46" s="60"/>
      <c r="J46" s="61"/>
    </row>
    <row r="47" spans="1:12" ht="13.9" customHeight="1" x14ac:dyDescent="0.3">
      <c r="A47" s="58"/>
      <c r="B47" s="62"/>
      <c r="C47" s="62"/>
      <c r="D47" s="62"/>
      <c r="E47" s="62"/>
      <c r="F47" s="62"/>
      <c r="G47" s="62"/>
      <c r="H47" s="62"/>
      <c r="I47" s="62"/>
      <c r="J47" s="63"/>
    </row>
    <row r="48" spans="1:12" ht="13.9" customHeight="1" x14ac:dyDescent="0.3">
      <c r="A48" s="58"/>
      <c r="B48" s="62"/>
      <c r="C48" s="62"/>
      <c r="D48" s="62"/>
      <c r="E48" s="62"/>
      <c r="F48" s="62"/>
      <c r="G48" s="62"/>
      <c r="H48" s="62"/>
      <c r="I48" s="62"/>
      <c r="J48" s="63"/>
    </row>
    <row r="49" spans="1:10" ht="13.9" customHeight="1" x14ac:dyDescent="0.3">
      <c r="A49" s="58"/>
      <c r="B49" s="62"/>
      <c r="C49" s="62"/>
      <c r="D49" s="62"/>
      <c r="E49" s="62"/>
      <c r="F49" s="62"/>
      <c r="G49" s="62"/>
      <c r="H49" s="62"/>
      <c r="I49" s="62"/>
      <c r="J49" s="63"/>
    </row>
    <row r="50" spans="1:10" ht="13.9" customHeight="1" x14ac:dyDescent="0.3">
      <c r="A50" s="58"/>
      <c r="B50" s="62"/>
      <c r="C50" s="62"/>
      <c r="D50" s="62"/>
      <c r="E50" s="62"/>
      <c r="F50" s="62"/>
      <c r="G50" s="62"/>
      <c r="H50" s="62"/>
      <c r="I50" s="62"/>
      <c r="J50" s="63"/>
    </row>
    <row r="51" spans="1:10" ht="13.9" customHeight="1" x14ac:dyDescent="0.3">
      <c r="A51" s="58"/>
      <c r="B51" s="62"/>
      <c r="C51" s="62"/>
      <c r="D51" s="62"/>
      <c r="E51" s="62"/>
      <c r="F51" s="62"/>
      <c r="G51" s="62"/>
      <c r="H51" s="62"/>
      <c r="I51" s="62"/>
      <c r="J51" s="63"/>
    </row>
    <row r="52" spans="1:10" ht="13.9" customHeight="1" x14ac:dyDescent="0.3">
      <c r="A52" s="58"/>
      <c r="B52" s="62"/>
      <c r="C52" s="62"/>
      <c r="D52" s="62"/>
      <c r="E52" s="62"/>
      <c r="F52" s="62"/>
      <c r="G52" s="62"/>
      <c r="H52" s="62"/>
      <c r="I52" s="62"/>
      <c r="J52" s="63"/>
    </row>
    <row r="53" spans="1:10" ht="14.45" customHeight="1" x14ac:dyDescent="0.3">
      <c r="A53" s="58"/>
      <c r="B53" s="62"/>
      <c r="C53" s="62"/>
      <c r="D53" s="62"/>
      <c r="E53" s="62"/>
      <c r="F53" s="62"/>
      <c r="G53" s="62"/>
      <c r="H53" s="62"/>
      <c r="I53" s="62"/>
      <c r="J53" s="63"/>
    </row>
    <row r="54" spans="1:10" ht="14.45" customHeight="1" x14ac:dyDescent="0.3">
      <c r="A54" s="58"/>
      <c r="B54" s="62"/>
      <c r="C54" s="62"/>
      <c r="D54" s="62"/>
      <c r="E54" s="62"/>
      <c r="F54" s="62"/>
      <c r="G54" s="62"/>
      <c r="H54" s="62"/>
      <c r="I54" s="62"/>
      <c r="J54" s="63"/>
    </row>
    <row r="55" spans="1:10" ht="14.45" customHeight="1" thickBot="1" x14ac:dyDescent="0.35">
      <c r="A55" s="59"/>
      <c r="B55" s="64"/>
      <c r="C55" s="64"/>
      <c r="D55" s="64"/>
      <c r="E55" s="64"/>
      <c r="F55" s="64"/>
      <c r="G55" s="64"/>
      <c r="H55" s="64"/>
      <c r="I55" s="64"/>
      <c r="J55" s="65"/>
    </row>
  </sheetData>
  <dataConsolidate/>
  <mergeCells count="28">
    <mergeCell ref="K18:K20"/>
    <mergeCell ref="J18:J20"/>
    <mergeCell ref="L18:L20"/>
    <mergeCell ref="A46:A55"/>
    <mergeCell ref="B46:J55"/>
    <mergeCell ref="A39:A44"/>
    <mergeCell ref="B39:J44"/>
    <mergeCell ref="C9:H9"/>
    <mergeCell ref="C11:H11"/>
    <mergeCell ref="A15:B15"/>
    <mergeCell ref="A10:B10"/>
    <mergeCell ref="C13:H13"/>
    <mergeCell ref="C14:H14"/>
    <mergeCell ref="C10:H10"/>
    <mergeCell ref="C15:H15"/>
    <mergeCell ref="A9:B9"/>
    <mergeCell ref="A11:B11"/>
    <mergeCell ref="A13:B13"/>
    <mergeCell ref="A14:B14"/>
    <mergeCell ref="A12:B12"/>
    <mergeCell ref="C12:H12"/>
    <mergeCell ref="C2:K4"/>
    <mergeCell ref="C7:H7"/>
    <mergeCell ref="A7:B7"/>
    <mergeCell ref="A8:B8"/>
    <mergeCell ref="C8:H8"/>
    <mergeCell ref="A6:B6"/>
    <mergeCell ref="C6:H6"/>
  </mergeCells>
  <phoneticPr fontId="12" type="noConversion"/>
  <dataValidations count="4">
    <dataValidation type="list" allowBlank="1" showInputMessage="1" showErrorMessage="1" sqref="C9:H9" xr:uid="{7985510F-2517-4889-9260-D96A00F43B6A}">
      <formula1>"Retech,SVC"</formula1>
    </dataValidation>
    <dataValidation type="list" allowBlank="1" showInputMessage="1" showErrorMessage="1" sqref="C10:H10" xr:uid="{0A3A13BE-67A0-49AA-B209-E0456FF5A4B5}">
      <formula1>"Yurtiçi,Yurtdışı"</formula1>
    </dataValidation>
    <dataValidation type="custom" allowBlank="1" showInputMessage="1" showErrorMessage="1" sqref="J10:K12" xr:uid="{864835A5-8AE2-4C18-80F2-FB886F7E3052}">
      <formula1>J10(TRUE,FALSE)</formula1>
    </dataValidation>
    <dataValidation type="list" allowBlank="1" showInputMessage="1" showErrorMessage="1" sqref="C8:H8" xr:uid="{F584F331-B676-44B5-82BD-1DD89611CB44}">
      <formula1>"Teklif,Yaklaşık Bedel"</formula1>
    </dataValidation>
  </dataValidations>
  <pageMargins left="0.7" right="0.7" top="0.75" bottom="0.75" header="0.3" footer="0.3"/>
  <pageSetup paperSize="9" scale="34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Güvenlik Reaksiyon Polis Tim Ar</vt:lpstr>
      <vt:lpstr>'Güvenlik Reaksiyon Polis Tim Ar'!Yazdırma_Alanı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Ertuğral</dc:creator>
  <cp:lastModifiedBy>Osman Ertuğral</cp:lastModifiedBy>
  <cp:lastPrinted>2026-03-30T09:19:49Z</cp:lastPrinted>
  <dcterms:created xsi:type="dcterms:W3CDTF">2026-03-25T06:09:07Z</dcterms:created>
  <dcterms:modified xsi:type="dcterms:W3CDTF">2026-04-27T12:03:41Z</dcterms:modified>
</cp:coreProperties>
</file>