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-SVC MALİYET DOSYALARI\YİÇİ\HAVA YANGIN LOJİSTİK\MALİYETLENDİRME\"/>
    </mc:Choice>
  </mc:AlternateContent>
  <xr:revisionPtr revIDLastSave="0" documentId="13_ncr:1_{E93986A4-E894-4AC7-A577-69C703AA4780}" xr6:coauthVersionLast="47" xr6:coauthVersionMax="47" xr10:uidLastSave="{00000000-0000-0000-0000-000000000000}"/>
  <bookViews>
    <workbookView xWindow="-108" yWindow="-108" windowWidth="23256" windowHeight="12456" activeTab="1" xr2:uid="{BA95FC1E-CD1B-490F-9A0C-080875F12861}"/>
  </bookViews>
  <sheets>
    <sheet name="1.versiyon" sheetId="7" r:id="rId1"/>
    <sheet name="2.versyon" sheetId="6" r:id="rId2"/>
  </sheets>
  <definedNames>
    <definedName name="_xlnm.Print_Area" localSheetId="0">'1.versiyon'!$A$1:$L$58</definedName>
    <definedName name="_xlnm.Print_Area" localSheetId="1">'2.versyon'!$A$1:$L$61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5" i="6" l="1"/>
  <c r="L37" i="7" l="1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39" i="7" s="1"/>
  <c r="L40" i="7" s="1"/>
  <c r="L42" i="6"/>
  <c r="L18" i="6"/>
  <c r="L20" i="6"/>
  <c r="L19" i="6"/>
  <c r="L21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22" i="6"/>
  <c r="L43" i="6" l="1"/>
</calcChain>
</file>

<file path=xl/sharedStrings.xml><?xml version="1.0" encoding="utf-8"?>
<sst xmlns="http://schemas.openxmlformats.org/spreadsheetml/2006/main" count="217" uniqueCount="94">
  <si>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</si>
  <si>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</si>
  <si>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</si>
  <si>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</si>
  <si>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</si>
  <si>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</si>
  <si>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</si>
  <si>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</si>
  <si>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</si>
  <si>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</si>
  <si>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</si>
  <si>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</si>
  <si>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</si>
  <si>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</si>
  <si>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</si>
  <si>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</si>
  <si>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</si>
  <si>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</si>
  <si>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</si>
  <si>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</si>
  <si>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</si>
  <si>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</si>
  <si>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</si>
  <si>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</si>
  <si>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</si>
  <si>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</si>
  <si>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</si>
  <si>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</si>
  <si>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</si>
  <si>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SVC</t>
  </si>
  <si>
    <t>ARAÇ</t>
  </si>
  <si>
    <t>Taban Kaplama</t>
  </si>
  <si>
    <t>Ürün 
Departmanı Notu</t>
  </si>
  <si>
    <t>Yaklaşık Bedel</t>
  </si>
  <si>
    <t>HAVA ARACI YANGIN LOJİSTİK</t>
  </si>
  <si>
    <t>FORD TRANSIT 350 E VAN 2+1</t>
  </si>
  <si>
    <t>DMO / OTOKOÇ</t>
  </si>
  <si>
    <t xml:space="preserve">9 MM MDF Ya da Su kontrası  </t>
  </si>
  <si>
    <t>Taban Karkası</t>
  </si>
  <si>
    <t>3mm Pvc esaslı malzeme</t>
  </si>
  <si>
    <t>Tekere uygun bijon anahtarı ve kolu</t>
  </si>
  <si>
    <t xml:space="preserve"> Düz zeminde kaldırabilecek, 5 ton kapasiteli, </t>
  </si>
  <si>
    <t>Çekiç</t>
  </si>
  <si>
    <t>1 kg Ağaç saplı</t>
  </si>
  <si>
    <t>Takoz</t>
  </si>
  <si>
    <t>Metal yada plastik</t>
  </si>
  <si>
    <t>Patinaj Zinciri</t>
  </si>
  <si>
    <t>2 Teker İçin</t>
  </si>
  <si>
    <t>Çeki Halatı</t>
  </si>
  <si>
    <t>Levye</t>
  </si>
  <si>
    <t>Katlanabilir Reflektör</t>
  </si>
  <si>
    <t>Paspas</t>
  </si>
  <si>
    <t>Kurbağacık Anahtar</t>
  </si>
  <si>
    <t>Ağız açıklığı en az 20 mm</t>
  </si>
  <si>
    <t>Düz Tornavida</t>
  </si>
  <si>
    <t>5'li set</t>
  </si>
  <si>
    <t>Yıldız Tornavida</t>
  </si>
  <si>
    <t>Avadanlık Çantası</t>
  </si>
  <si>
    <t>Kurbağacık, düz ve yıldız tornavida, Patinaj zinciri, Levye ve çeki halatı konması için</t>
  </si>
  <si>
    <t>İlk Yardım Çantası</t>
  </si>
  <si>
    <t>Trafik Tüzüğüne Uygun</t>
  </si>
  <si>
    <t>Yangın Söndürme Cihazı</t>
  </si>
  <si>
    <t>2 KG ve Basınç göstergeli</t>
  </si>
  <si>
    <t>Avadanlık</t>
  </si>
  <si>
    <t>Araç Takip Cihazı</t>
  </si>
  <si>
    <t>Profesyonel paket araç takip cihazı (Arvento Marka)</t>
  </si>
  <si>
    <t>Sürücü Tanıma Sistemi</t>
  </si>
  <si>
    <t xml:space="preserve">2 adet i-button 
Araç takip ile entegre, </t>
  </si>
  <si>
    <t>Sim kartı idare verecek arvento marka profesyonel paketli olacaktır. Sürücüleri tanıyabilecek özellikte</t>
  </si>
  <si>
    <t>Burası komple set olabilir</t>
  </si>
  <si>
    <t>adet</t>
  </si>
  <si>
    <t>set</t>
  </si>
  <si>
    <t>m2</t>
  </si>
  <si>
    <t>plaka</t>
  </si>
  <si>
    <t>EURO</t>
  </si>
  <si>
    <t>DOLAR</t>
  </si>
  <si>
    <t>3 gün</t>
  </si>
  <si>
    <t>dmo tarafından entegrasyon yapılacak mı bilgi alınmalıdır.</t>
  </si>
  <si>
    <t>Proje</t>
  </si>
  <si>
    <t>Tescil Projesi</t>
  </si>
  <si>
    <t>Trafik tescil işlemleri için proje dahil araçla teslim edilecektir. Genel Şartlar 5. madde</t>
  </si>
  <si>
    <t>Tepe lambası ve 
E-siren</t>
  </si>
  <si>
    <t xml:space="preserve">INFINITY-L ve e- SRN </t>
  </si>
  <si>
    <t>INFINITY-L ve e- SRN çalışır halde teslim. Genel Şartlar 6. madde</t>
  </si>
  <si>
    <t>ARMAS</t>
  </si>
  <si>
    <t>Logo</t>
  </si>
  <si>
    <t>Kurum logo ve ismi yer alacaktır.</t>
  </si>
  <si>
    <t>İdarenin belirleyeceği şekilde ve büyüklükte Kurum logo ve ismi yer alacaktır. 4 teknik şarlar-2. mad.</t>
  </si>
  <si>
    <t>Bu kısım kapılara 2 yuvarlak logo + Orman genel müdürlüğü yazısı şeklinde olacağı öngörülmektedir.</t>
  </si>
  <si>
    <t>Adet</t>
  </si>
  <si>
    <t>Asm Kablo</t>
  </si>
  <si>
    <t>Telsiz Ön Hazırlığı</t>
  </si>
  <si>
    <t>"RG58AU 
(Şartnameden detayları alabilirsiniz)"</t>
  </si>
  <si>
    <t>"RG58AU - Telsiz anten monte aparatı, bıçak sigorta, klemensle sonlandırma,
(Şartnameden detayları alabilirsiniz)"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</si>
</sst>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6"/>
      <color theme="1"/>
      <name val="Century Gothic"/>
      <family val="2"/>
      <charset val="162"/>
    </font>
    <font>
      <sz val="24"/>
      <color theme="1"/>
      <name val="Century Gothic"/>
      <family val="2"/>
      <charset val="162"/>
    </font>
    <font>
      <b/>
      <sz val="14"/>
      <color rgb="FFFF0000"/>
      <name val="Century Gothic"/>
      <family val="2"/>
      <charset val="162"/>
    </font>
    <font>
      <sz val="13"/>
      <color rgb="FFFF0000"/>
      <name val="Century Gothic"/>
      <family val="2"/>
      <charset val="162"/>
    </font>
    <font>
      <sz val="11"/>
      <color rgb="FFFF0000"/>
      <name val="Century Gothic"/>
      <family val="2"/>
      <charset val="162"/>
    </font>
    <font>
      <sz val="12"/>
      <color theme="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12" fillId="0" borderId="0" xfId="0" applyFont="1"/>
    <xf numFmtId="44" fontId="7" fillId="3" borderId="1" xfId="2" applyFont="1" applyFill="1" applyBorder="1" applyAlignment="1">
      <alignment horizontal="center" vertical="center"/>
    </xf>
    <xf numFmtId="165" fontId="13" fillId="0" borderId="0" xfId="0" applyNumberFormat="1" applyFont="1"/>
    <xf numFmtId="0" fontId="14" fillId="3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/>
    <xf numFmtId="0" fontId="14" fillId="5" borderId="1" xfId="0" applyFont="1" applyFill="1" applyBorder="1"/>
    <xf numFmtId="0" fontId="14" fillId="5" borderId="1" xfId="0" applyFont="1" applyFill="1" applyBorder="1" applyAlignment="1">
      <alignment wrapText="1"/>
    </xf>
    <xf numFmtId="0" fontId="14" fillId="3" borderId="1" xfId="0" applyFont="1" applyFill="1" applyBorder="1" applyAlignment="1">
      <alignment horizontal="left"/>
    </xf>
    <xf numFmtId="0" fontId="14" fillId="3" borderId="1" xfId="0" applyFont="1" applyFill="1" applyBorder="1"/>
    <xf numFmtId="0" fontId="16" fillId="0" borderId="0" xfId="0" applyFont="1"/>
    <xf numFmtId="0" fontId="14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  <xf numFmtId="0" fontId="6" fillId="4" borderId="32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7" fillId="0" borderId="0" xfId="0" applyFont="1"/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80B1F4E-B205-4B73-9A02-7526A0B008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3248532" y="286872"/>
          <a:ext cx="4973090" cy="139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0A93-1806-4312-984A-AFE256A0DD8E}">
  <sheetPr>
    <pageSetUpPr fitToPage="1"/>
  </sheetPr>
  <dimension ref="A1:N58"/>
  <sheetViews>
    <sheetView topLeftCell="B1" zoomScale="85" zoomScaleNormal="85" workbookViewId="0">
      <selection activeCell="C8" sqref="C8:H8"/>
    </sheetView>
  </sheetViews>
  <sheetFormatPr defaultColWidth="9.109375" defaultRowHeight="13.8" x14ac:dyDescent="0.25"/>
  <cols>
    <col min="1" max="1" width="25" style="1" customWidth="1"/>
    <col min="2" max="2" width="36.109375" style="1" bestFit="1" customWidth="1"/>
    <col min="3" max="3" width="34.5546875" style="1" customWidth="1"/>
    <col min="4" max="4" width="35.88671875" style="1" customWidth="1"/>
    <col min="5" max="5" width="51.88671875" style="1" customWidth="1"/>
    <col min="6" max="6" width="21.5546875" style="1" customWidth="1"/>
    <col min="7" max="7" width="17.3320312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3.33203125" style="1" bestFit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15"/>
      <c r="B2" s="24" t="s">
        <v>23</v>
      </c>
      <c r="C2" s="55"/>
      <c r="D2" s="56"/>
      <c r="E2" s="56"/>
      <c r="F2" s="56"/>
      <c r="G2" s="56"/>
      <c r="H2" s="56"/>
      <c r="I2" s="56"/>
      <c r="J2" s="56"/>
      <c r="K2" s="57"/>
    </row>
    <row r="3" spans="1:14" ht="41.4" customHeight="1" x14ac:dyDescent="0.25">
      <c r="A3" s="16"/>
      <c r="B3" s="25" t="s">
        <v>25</v>
      </c>
      <c r="C3" s="58"/>
      <c r="D3" s="59"/>
      <c r="E3" s="59"/>
      <c r="F3" s="59"/>
      <c r="G3" s="59"/>
      <c r="H3" s="59"/>
      <c r="I3" s="59"/>
      <c r="J3" s="59"/>
      <c r="K3" s="60"/>
    </row>
    <row r="4" spans="1:14" ht="41.4" customHeight="1" thickBot="1" x14ac:dyDescent="0.3">
      <c r="A4" s="17"/>
      <c r="B4" s="26" t="s">
        <v>24</v>
      </c>
      <c r="C4" s="61"/>
      <c r="D4" s="62"/>
      <c r="E4" s="62"/>
      <c r="F4" s="62"/>
      <c r="G4" s="62"/>
      <c r="H4" s="62"/>
      <c r="I4" s="62"/>
      <c r="J4" s="62"/>
      <c r="K4" s="63"/>
    </row>
    <row r="5" spans="1:14" ht="33" customHeight="1" thickBot="1" x14ac:dyDescent="0.3">
      <c r="C5" s="5"/>
      <c r="K5" s="1"/>
    </row>
    <row r="6" spans="1:14" ht="17.399999999999999" x14ac:dyDescent="0.3">
      <c r="A6" s="65" t="s">
        <v>27</v>
      </c>
      <c r="B6" s="66"/>
      <c r="C6" s="67">
        <v>46150</v>
      </c>
      <c r="D6" s="68"/>
      <c r="E6" s="68"/>
      <c r="F6" s="68"/>
      <c r="G6" s="68"/>
      <c r="H6" s="69"/>
      <c r="K6" s="1"/>
    </row>
    <row r="7" spans="1:14" ht="17.399999999999999" x14ac:dyDescent="0.3">
      <c r="A7" s="50" t="s">
        <v>28</v>
      </c>
      <c r="B7" s="51"/>
      <c r="C7" s="64">
        <v>46155</v>
      </c>
      <c r="D7" s="53"/>
      <c r="E7" s="53"/>
      <c r="F7" s="53"/>
      <c r="G7" s="53"/>
      <c r="H7" s="54"/>
      <c r="K7" s="1"/>
    </row>
    <row r="8" spans="1:14" ht="20.399999999999999" customHeight="1" x14ac:dyDescent="0.35">
      <c r="A8" s="50" t="s">
        <v>26</v>
      </c>
      <c r="B8" s="51"/>
      <c r="C8" s="52" t="s">
        <v>33</v>
      </c>
      <c r="D8" s="53"/>
      <c r="E8" s="53"/>
      <c r="F8" s="53"/>
      <c r="G8" s="53"/>
      <c r="H8" s="54"/>
      <c r="J8" s="33" t="s">
        <v>75</v>
      </c>
      <c r="K8" s="33" t="s">
        <v>74</v>
      </c>
    </row>
    <row r="9" spans="1:14" s="4" customFormat="1" ht="18.899999999999999" customHeight="1" x14ac:dyDescent="0.35">
      <c r="A9" s="92" t="s">
        <v>8</v>
      </c>
      <c r="B9" s="93"/>
      <c r="C9" s="88" t="s">
        <v>29</v>
      </c>
      <c r="D9" s="88"/>
      <c r="E9" s="88"/>
      <c r="F9" s="88"/>
      <c r="G9" s="88"/>
      <c r="H9" s="89"/>
      <c r="I9" s="1"/>
      <c r="J9" s="33">
        <v>45.4</v>
      </c>
      <c r="K9" s="33">
        <v>53</v>
      </c>
      <c r="L9" s="1"/>
    </row>
    <row r="10" spans="1:14" s="4" customFormat="1" ht="20.399999999999999" customHeight="1" x14ac:dyDescent="0.35">
      <c r="A10" s="92" t="s">
        <v>14</v>
      </c>
      <c r="B10" s="93"/>
      <c r="C10" s="88" t="s">
        <v>15</v>
      </c>
      <c r="D10" s="88"/>
      <c r="E10" s="88"/>
      <c r="F10" s="88"/>
      <c r="G10" s="88"/>
      <c r="H10" s="89"/>
      <c r="I10" s="1"/>
      <c r="J10" s="33"/>
      <c r="K10" s="33"/>
      <c r="L10" s="1"/>
    </row>
    <row r="11" spans="1:14" s="4" customFormat="1" ht="21" customHeight="1" x14ac:dyDescent="0.35">
      <c r="A11" s="92" t="s">
        <v>9</v>
      </c>
      <c r="B11" s="93"/>
      <c r="C11" s="88" t="s">
        <v>34</v>
      </c>
      <c r="D11" s="88"/>
      <c r="E11" s="88"/>
      <c r="F11" s="88"/>
      <c r="G11" s="88"/>
      <c r="H11" s="89"/>
      <c r="I11" s="1"/>
      <c r="J11" s="33"/>
      <c r="K11" s="33"/>
      <c r="L11" s="1"/>
      <c r="M11" s="1"/>
    </row>
    <row r="12" spans="1:14" s="4" customFormat="1" ht="21" customHeight="1" x14ac:dyDescent="0.3">
      <c r="A12" s="50" t="s">
        <v>30</v>
      </c>
      <c r="B12" s="51"/>
      <c r="C12" s="52" t="s">
        <v>35</v>
      </c>
      <c r="D12" s="53"/>
      <c r="E12" s="53"/>
      <c r="F12" s="53"/>
      <c r="G12" s="53"/>
      <c r="H12" s="54"/>
      <c r="I12" s="1"/>
      <c r="J12" s="28"/>
      <c r="K12" s="28"/>
      <c r="L12" s="1"/>
      <c r="M12" s="1"/>
    </row>
    <row r="13" spans="1:14" s="4" customFormat="1" ht="21" customHeight="1" x14ac:dyDescent="0.3">
      <c r="A13" s="92" t="s">
        <v>16</v>
      </c>
      <c r="B13" s="93"/>
      <c r="C13" s="88" t="s">
        <v>36</v>
      </c>
      <c r="D13" s="88"/>
      <c r="E13" s="88"/>
      <c r="F13" s="88"/>
      <c r="G13" s="88"/>
      <c r="H13" s="89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92" t="s">
        <v>10</v>
      </c>
      <c r="B14" s="93"/>
      <c r="C14" s="88"/>
      <c r="D14" s="88"/>
      <c r="E14" s="88"/>
      <c r="F14" s="88"/>
      <c r="G14" s="88"/>
      <c r="H14" s="89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90" t="s">
        <v>13</v>
      </c>
      <c r="B15" s="91"/>
      <c r="C15" s="94">
        <v>1</v>
      </c>
      <c r="D15" s="94"/>
      <c r="E15" s="94"/>
      <c r="F15" s="94"/>
      <c r="G15" s="94"/>
      <c r="H15" s="95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x14ac:dyDescent="0.3">
      <c r="A17" s="21" t="s">
        <v>0</v>
      </c>
      <c r="B17" s="22" t="s">
        <v>3</v>
      </c>
      <c r="C17" s="22" t="s">
        <v>21</v>
      </c>
      <c r="D17" s="22" t="s">
        <v>4</v>
      </c>
      <c r="E17" s="22" t="s">
        <v>7</v>
      </c>
      <c r="F17" s="31" t="s">
        <v>32</v>
      </c>
      <c r="G17" s="22" t="s">
        <v>5</v>
      </c>
      <c r="H17" s="22" t="s">
        <v>1</v>
      </c>
      <c r="I17" s="23" t="s">
        <v>20</v>
      </c>
      <c r="J17" s="22" t="s">
        <v>22</v>
      </c>
      <c r="K17" s="22" t="s">
        <v>2</v>
      </c>
      <c r="L17" s="22" t="s">
        <v>6</v>
      </c>
    </row>
    <row r="18" spans="1:12" ht="40.950000000000003" customHeight="1" x14ac:dyDescent="0.25">
      <c r="A18" s="32" t="s">
        <v>38</v>
      </c>
      <c r="B18" s="29" t="s">
        <v>37</v>
      </c>
      <c r="C18" s="29" t="s">
        <v>37</v>
      </c>
      <c r="D18" s="12"/>
      <c r="E18" s="13"/>
      <c r="F18" s="13"/>
      <c r="G18" s="13">
        <v>2</v>
      </c>
      <c r="H18" s="13" t="s">
        <v>73</v>
      </c>
      <c r="I18" s="14"/>
      <c r="J18" s="14"/>
      <c r="K18" s="34">
        <v>2500</v>
      </c>
      <c r="L18" s="30">
        <f>G18*K18</f>
        <v>5000</v>
      </c>
    </row>
    <row r="19" spans="1:12" ht="37.5" customHeight="1" x14ac:dyDescent="0.25">
      <c r="A19" s="32" t="s">
        <v>31</v>
      </c>
      <c r="B19" s="29" t="s">
        <v>39</v>
      </c>
      <c r="C19" s="29" t="s">
        <v>39</v>
      </c>
      <c r="D19" s="12"/>
      <c r="E19" s="13"/>
      <c r="F19" s="13"/>
      <c r="G19" s="13">
        <v>6.5</v>
      </c>
      <c r="H19" s="13" t="s">
        <v>72</v>
      </c>
      <c r="I19" s="14"/>
      <c r="J19" s="14"/>
      <c r="K19" s="34">
        <v>692</v>
      </c>
      <c r="L19" s="30">
        <f t="shared" ref="L19:L37" si="0">G19*K19</f>
        <v>4498</v>
      </c>
    </row>
    <row r="20" spans="1:12" ht="32.4" x14ac:dyDescent="0.25">
      <c r="A20" s="47" t="s">
        <v>63</v>
      </c>
      <c r="B20" s="29" t="s">
        <v>40</v>
      </c>
      <c r="C20" s="29" t="s">
        <v>40</v>
      </c>
      <c r="D20" s="12"/>
      <c r="E20" s="13"/>
      <c r="F20" s="13"/>
      <c r="G20" s="13">
        <v>1</v>
      </c>
      <c r="H20" s="13" t="s">
        <v>70</v>
      </c>
      <c r="I20" s="14"/>
      <c r="J20" s="14"/>
      <c r="K20" s="34">
        <v>500</v>
      </c>
      <c r="L20" s="30">
        <f t="shared" si="0"/>
        <v>500</v>
      </c>
    </row>
    <row r="21" spans="1:12" ht="83.25" customHeight="1" x14ac:dyDescent="0.25">
      <c r="A21" s="48"/>
      <c r="B21" s="29" t="s">
        <v>41</v>
      </c>
      <c r="C21" s="29" t="s">
        <v>41</v>
      </c>
      <c r="D21" s="12"/>
      <c r="E21" s="13"/>
      <c r="F21" s="13"/>
      <c r="G21" s="13">
        <v>1</v>
      </c>
      <c r="H21" s="13" t="s">
        <v>70</v>
      </c>
      <c r="I21" s="14"/>
      <c r="J21" s="14"/>
      <c r="K21" s="34">
        <v>1350</v>
      </c>
      <c r="L21" s="30">
        <f t="shared" si="0"/>
        <v>1350</v>
      </c>
    </row>
    <row r="22" spans="1:12" ht="16.2" x14ac:dyDescent="0.25">
      <c r="A22" s="48"/>
      <c r="B22" s="12" t="s">
        <v>42</v>
      </c>
      <c r="C22" s="29" t="s">
        <v>43</v>
      </c>
      <c r="D22" s="12"/>
      <c r="E22" s="13"/>
      <c r="F22" s="13"/>
      <c r="G22" s="13">
        <v>1</v>
      </c>
      <c r="H22" s="13" t="s">
        <v>70</v>
      </c>
      <c r="I22" s="14"/>
      <c r="J22" s="14"/>
      <c r="K22" s="30">
        <v>160</v>
      </c>
      <c r="L22" s="30">
        <f t="shared" si="0"/>
        <v>160</v>
      </c>
    </row>
    <row r="23" spans="1:12" ht="16.2" x14ac:dyDescent="0.25">
      <c r="A23" s="48"/>
      <c r="B23" s="12" t="s">
        <v>44</v>
      </c>
      <c r="C23" s="29" t="s">
        <v>45</v>
      </c>
      <c r="D23" s="12"/>
      <c r="E23" s="13"/>
      <c r="F23" s="13"/>
      <c r="G23" s="13">
        <v>1</v>
      </c>
      <c r="H23" s="13" t="s">
        <v>70</v>
      </c>
      <c r="I23" s="14"/>
      <c r="J23" s="14"/>
      <c r="K23" s="30">
        <v>350</v>
      </c>
      <c r="L23" s="30">
        <f t="shared" si="0"/>
        <v>350</v>
      </c>
    </row>
    <row r="24" spans="1:12" ht="16.2" x14ac:dyDescent="0.25">
      <c r="A24" s="48"/>
      <c r="B24" s="12" t="s">
        <v>46</v>
      </c>
      <c r="C24" s="12" t="s">
        <v>47</v>
      </c>
      <c r="D24" s="12"/>
      <c r="E24" s="13"/>
      <c r="F24" s="13"/>
      <c r="G24" s="13">
        <v>2</v>
      </c>
      <c r="H24" s="13" t="s">
        <v>70</v>
      </c>
      <c r="I24" s="14"/>
      <c r="J24" s="14"/>
      <c r="K24" s="30">
        <v>1530</v>
      </c>
      <c r="L24" s="30">
        <f t="shared" si="0"/>
        <v>3060</v>
      </c>
    </row>
    <row r="25" spans="1:12" ht="16.2" x14ac:dyDescent="0.25">
      <c r="A25" s="48"/>
      <c r="B25" s="12" t="s">
        <v>48</v>
      </c>
      <c r="C25" s="12"/>
      <c r="D25" s="12"/>
      <c r="E25" s="13"/>
      <c r="F25" s="13"/>
      <c r="G25" s="13">
        <v>1</v>
      </c>
      <c r="H25" s="13" t="s">
        <v>70</v>
      </c>
      <c r="I25" s="14"/>
      <c r="J25" s="14"/>
      <c r="K25" s="30">
        <v>685</v>
      </c>
      <c r="L25" s="30">
        <f t="shared" si="0"/>
        <v>685</v>
      </c>
    </row>
    <row r="26" spans="1:12" ht="16.2" x14ac:dyDescent="0.25">
      <c r="A26" s="48"/>
      <c r="B26" s="12" t="s">
        <v>49</v>
      </c>
      <c r="C26" s="12"/>
      <c r="D26" s="12"/>
      <c r="E26" s="13"/>
      <c r="F26" s="13"/>
      <c r="G26" s="13">
        <v>1</v>
      </c>
      <c r="H26" s="13" t="s">
        <v>70</v>
      </c>
      <c r="I26" s="14"/>
      <c r="J26" s="14"/>
      <c r="K26" s="30">
        <v>300</v>
      </c>
      <c r="L26" s="30">
        <f t="shared" si="0"/>
        <v>300</v>
      </c>
    </row>
    <row r="27" spans="1:12" ht="16.2" x14ac:dyDescent="0.25">
      <c r="A27" s="48"/>
      <c r="B27" s="12" t="s">
        <v>50</v>
      </c>
      <c r="C27" s="12"/>
      <c r="D27" s="12"/>
      <c r="E27" s="13"/>
      <c r="F27" s="13"/>
      <c r="G27" s="13">
        <v>1</v>
      </c>
      <c r="H27" s="13" t="s">
        <v>70</v>
      </c>
      <c r="I27" s="14"/>
      <c r="J27" s="14"/>
      <c r="K27" s="30">
        <v>95</v>
      </c>
      <c r="L27" s="30">
        <f t="shared" si="0"/>
        <v>95</v>
      </c>
    </row>
    <row r="28" spans="1:12" ht="16.2" x14ac:dyDescent="0.25">
      <c r="A28" s="48"/>
      <c r="B28" s="12" t="s">
        <v>51</v>
      </c>
      <c r="C28" s="12"/>
      <c r="D28" s="12"/>
      <c r="E28" s="13"/>
      <c r="F28" s="13"/>
      <c r="G28" s="13">
        <v>1</v>
      </c>
      <c r="H28" s="13" t="s">
        <v>70</v>
      </c>
      <c r="I28" s="14"/>
      <c r="J28" s="14"/>
      <c r="K28" s="30">
        <v>1100</v>
      </c>
      <c r="L28" s="30">
        <f t="shared" si="0"/>
        <v>1100</v>
      </c>
    </row>
    <row r="29" spans="1:12" ht="16.2" x14ac:dyDescent="0.25">
      <c r="A29" s="48"/>
      <c r="B29" s="12" t="s">
        <v>52</v>
      </c>
      <c r="C29" s="12" t="s">
        <v>53</v>
      </c>
      <c r="D29" s="12"/>
      <c r="E29" s="13"/>
      <c r="F29" s="13"/>
      <c r="G29" s="13">
        <v>1</v>
      </c>
      <c r="H29" s="13" t="s">
        <v>70</v>
      </c>
      <c r="I29" s="14"/>
      <c r="J29" s="14"/>
      <c r="K29" s="30">
        <v>500</v>
      </c>
      <c r="L29" s="30">
        <f t="shared" si="0"/>
        <v>500</v>
      </c>
    </row>
    <row r="30" spans="1:12" ht="16.2" x14ac:dyDescent="0.25">
      <c r="A30" s="48"/>
      <c r="B30" s="12" t="s">
        <v>54</v>
      </c>
      <c r="C30" s="12" t="s">
        <v>55</v>
      </c>
      <c r="D30" s="12"/>
      <c r="E30" s="13"/>
      <c r="F30" s="13"/>
      <c r="G30" s="13">
        <v>1</v>
      </c>
      <c r="H30" s="13" t="s">
        <v>70</v>
      </c>
      <c r="I30" s="14"/>
      <c r="J30" s="14"/>
      <c r="K30" s="30">
        <v>550</v>
      </c>
      <c r="L30" s="30">
        <f t="shared" si="0"/>
        <v>550</v>
      </c>
    </row>
    <row r="31" spans="1:12" ht="16.2" x14ac:dyDescent="0.25">
      <c r="A31" s="48"/>
      <c r="B31" s="12" t="s">
        <v>56</v>
      </c>
      <c r="C31" s="12" t="s">
        <v>55</v>
      </c>
      <c r="D31" s="12"/>
      <c r="E31" s="13"/>
      <c r="F31" s="13"/>
      <c r="G31" s="13">
        <v>1</v>
      </c>
      <c r="H31" s="13" t="s">
        <v>70</v>
      </c>
      <c r="I31" s="14"/>
      <c r="J31" s="14"/>
      <c r="K31" s="30">
        <v>550</v>
      </c>
      <c r="L31" s="30">
        <f t="shared" si="0"/>
        <v>550</v>
      </c>
    </row>
    <row r="32" spans="1:12" ht="64.8" x14ac:dyDescent="0.25">
      <c r="A32" s="48"/>
      <c r="B32" s="12" t="s">
        <v>57</v>
      </c>
      <c r="C32" s="29" t="s">
        <v>58</v>
      </c>
      <c r="D32" s="12"/>
      <c r="E32" s="13"/>
      <c r="F32" s="13"/>
      <c r="G32" s="13">
        <v>1</v>
      </c>
      <c r="H32" s="13" t="s">
        <v>70</v>
      </c>
      <c r="I32" s="14"/>
      <c r="J32" s="14"/>
      <c r="K32" s="30">
        <v>370</v>
      </c>
      <c r="L32" s="30">
        <f t="shared" si="0"/>
        <v>370</v>
      </c>
    </row>
    <row r="33" spans="1:12" ht="16.2" x14ac:dyDescent="0.25">
      <c r="A33" s="48"/>
      <c r="B33" s="12" t="s">
        <v>59</v>
      </c>
      <c r="C33" s="29" t="s">
        <v>60</v>
      </c>
      <c r="D33" s="12"/>
      <c r="E33" s="13"/>
      <c r="F33" s="13"/>
      <c r="G33" s="13">
        <v>1</v>
      </c>
      <c r="H33" s="13" t="s">
        <v>70</v>
      </c>
      <c r="I33" s="14"/>
      <c r="J33" s="14"/>
      <c r="K33" s="30">
        <v>270</v>
      </c>
      <c r="L33" s="30">
        <f t="shared" si="0"/>
        <v>270</v>
      </c>
    </row>
    <row r="34" spans="1:12" ht="16.2" x14ac:dyDescent="0.25">
      <c r="A34" s="49"/>
      <c r="B34" s="12" t="s">
        <v>61</v>
      </c>
      <c r="C34" s="29" t="s">
        <v>62</v>
      </c>
      <c r="D34" s="12"/>
      <c r="E34" s="13"/>
      <c r="F34" s="13"/>
      <c r="G34" s="13">
        <v>1</v>
      </c>
      <c r="H34" s="13" t="s">
        <v>70</v>
      </c>
      <c r="I34" s="14"/>
      <c r="J34" s="14"/>
      <c r="K34" s="30">
        <v>800</v>
      </c>
      <c r="L34" s="30">
        <f t="shared" si="0"/>
        <v>800</v>
      </c>
    </row>
    <row r="35" spans="1:12" ht="115.95" customHeight="1" x14ac:dyDescent="0.25">
      <c r="A35" s="32" t="s">
        <v>64</v>
      </c>
      <c r="B35" s="29" t="s">
        <v>65</v>
      </c>
      <c r="C35" s="29" t="s">
        <v>68</v>
      </c>
      <c r="D35" s="12"/>
      <c r="E35" s="13"/>
      <c r="F35" s="13"/>
      <c r="G35" s="13">
        <v>1</v>
      </c>
      <c r="H35" s="13" t="s">
        <v>70</v>
      </c>
      <c r="I35" s="14" t="s">
        <v>77</v>
      </c>
      <c r="J35" s="14" t="s">
        <v>76</v>
      </c>
      <c r="K35" s="30">
        <v>7832</v>
      </c>
      <c r="L35" s="30">
        <f t="shared" si="0"/>
        <v>7832</v>
      </c>
    </row>
    <row r="36" spans="1:12" ht="115.95" customHeight="1" x14ac:dyDescent="0.25">
      <c r="A36" s="32" t="s">
        <v>66</v>
      </c>
      <c r="B36" s="29" t="s">
        <v>67</v>
      </c>
      <c r="C36" s="29" t="s">
        <v>69</v>
      </c>
      <c r="D36" s="12"/>
      <c r="E36" s="13"/>
      <c r="F36" s="13"/>
      <c r="G36" s="13">
        <v>1</v>
      </c>
      <c r="H36" s="13" t="s">
        <v>71</v>
      </c>
      <c r="I36" s="14" t="s">
        <v>77</v>
      </c>
      <c r="J36" s="14" t="s">
        <v>76</v>
      </c>
      <c r="K36" s="30">
        <v>2500</v>
      </c>
      <c r="L36" s="30">
        <f t="shared" si="0"/>
        <v>2500</v>
      </c>
    </row>
    <row r="37" spans="1:12" ht="115.95" customHeight="1" x14ac:dyDescent="0.25">
      <c r="A37" s="32" t="s">
        <v>91</v>
      </c>
      <c r="B37" s="29" t="s">
        <v>92</v>
      </c>
      <c r="C37" s="29" t="s">
        <v>93</v>
      </c>
      <c r="D37" s="12"/>
      <c r="E37" s="13"/>
      <c r="F37" s="13"/>
      <c r="G37" s="13">
        <v>1</v>
      </c>
      <c r="H37" s="13" t="s">
        <v>70</v>
      </c>
      <c r="I37" s="14"/>
      <c r="J37" s="14"/>
      <c r="K37" s="30">
        <v>9500</v>
      </c>
      <c r="L37" s="30">
        <f t="shared" si="0"/>
        <v>9500</v>
      </c>
    </row>
    <row r="38" spans="1:12" ht="27.6" customHeight="1" thickBot="1" x14ac:dyDescent="0.3">
      <c r="A38" s="6"/>
      <c r="B38" s="7"/>
      <c r="C38" s="6"/>
      <c r="D38" s="8"/>
      <c r="E38" s="8"/>
      <c r="F38" s="8"/>
      <c r="G38" s="8"/>
      <c r="H38" s="9"/>
      <c r="I38" s="7"/>
      <c r="J38" s="10"/>
      <c r="K38" s="11"/>
      <c r="L38" s="11"/>
    </row>
    <row r="39" spans="1:12" ht="27.6" customHeight="1" thickBot="1" x14ac:dyDescent="0.3">
      <c r="A39" s="6"/>
      <c r="B39" s="7"/>
      <c r="C39" s="6"/>
      <c r="D39" s="8"/>
      <c r="E39" s="8"/>
      <c r="F39" s="8"/>
      <c r="G39" s="8"/>
      <c r="H39" s="9"/>
      <c r="I39" s="7"/>
      <c r="J39" s="10"/>
      <c r="K39" s="18" t="s">
        <v>12</v>
      </c>
      <c r="L39" s="19">
        <f>SUM(L18:L37)</f>
        <v>39970</v>
      </c>
    </row>
    <row r="40" spans="1:12" ht="27.6" customHeight="1" thickBot="1" x14ac:dyDescent="0.3">
      <c r="A40" s="6"/>
      <c r="B40" s="7"/>
      <c r="C40" s="6"/>
      <c r="D40" s="8"/>
      <c r="E40" s="8"/>
      <c r="F40" s="8"/>
      <c r="G40" s="8"/>
      <c r="H40" s="9"/>
      <c r="I40" s="7"/>
      <c r="J40" s="10"/>
      <c r="K40" s="18" t="s">
        <v>11</v>
      </c>
      <c r="L40" s="20">
        <f>L39/K9</f>
        <v>754.15094339622647</v>
      </c>
    </row>
    <row r="41" spans="1:12" ht="20.399999999999999" customHeight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2" ht="17.25" customHeight="1" thickBot="1" x14ac:dyDescent="0.3">
      <c r="A42" s="79" t="s">
        <v>17</v>
      </c>
      <c r="B42" s="82"/>
      <c r="C42" s="82"/>
      <c r="D42" s="82"/>
      <c r="E42" s="82"/>
      <c r="F42" s="82"/>
      <c r="G42" s="82"/>
      <c r="H42" s="82"/>
      <c r="I42" s="82"/>
      <c r="J42" s="83"/>
    </row>
    <row r="43" spans="1:12" ht="23.4" x14ac:dyDescent="0.25">
      <c r="A43" s="80"/>
      <c r="B43" s="84"/>
      <c r="C43" s="84"/>
      <c r="D43" s="84"/>
      <c r="E43" s="84"/>
      <c r="F43" s="84"/>
      <c r="G43" s="84"/>
      <c r="H43" s="84"/>
      <c r="I43" s="84"/>
      <c r="J43" s="85"/>
      <c r="L43" s="19">
        <v>54900</v>
      </c>
    </row>
    <row r="44" spans="1:12" x14ac:dyDescent="0.25">
      <c r="A44" s="80"/>
      <c r="B44" s="84"/>
      <c r="C44" s="84"/>
      <c r="D44" s="84"/>
      <c r="E44" s="84"/>
      <c r="F44" s="84"/>
      <c r="G44" s="84"/>
      <c r="H44" s="84"/>
      <c r="I44" s="84"/>
      <c r="J44" s="85"/>
    </row>
    <row r="45" spans="1:12" ht="51" customHeight="1" x14ac:dyDescent="0.3">
      <c r="A45" s="80"/>
      <c r="B45" s="84"/>
      <c r="C45" s="84"/>
      <c r="D45" s="84"/>
      <c r="E45" s="84"/>
      <c r="F45" s="84"/>
      <c r="G45" s="84"/>
      <c r="H45" s="84"/>
      <c r="I45" s="84"/>
      <c r="J45" s="85"/>
      <c r="L45" s="96"/>
    </row>
    <row r="46" spans="1:12" x14ac:dyDescent="0.25">
      <c r="A46" s="80"/>
      <c r="B46" s="84"/>
      <c r="C46" s="84"/>
      <c r="D46" s="84"/>
      <c r="E46" s="84"/>
      <c r="F46" s="84"/>
      <c r="G46" s="84"/>
      <c r="H46" s="84"/>
      <c r="I46" s="84"/>
      <c r="J46" s="85"/>
    </row>
    <row r="47" spans="1:12" ht="14.4" thickBot="1" x14ac:dyDescent="0.3">
      <c r="A47" s="81"/>
      <c r="B47" s="86"/>
      <c r="C47" s="86"/>
      <c r="D47" s="86"/>
      <c r="E47" s="86"/>
      <c r="F47" s="86"/>
      <c r="G47" s="86"/>
      <c r="H47" s="86"/>
      <c r="I47" s="86"/>
      <c r="J47" s="87"/>
    </row>
    <row r="48" spans="1:12" ht="21.6" thickBot="1" x14ac:dyDescent="0.4">
      <c r="A48" s="27"/>
    </row>
    <row r="49" spans="1:10" ht="13.95" customHeight="1" x14ac:dyDescent="0.25">
      <c r="A49" s="70" t="s">
        <v>18</v>
      </c>
      <c r="B49" s="73" t="s">
        <v>19</v>
      </c>
      <c r="C49" s="73"/>
      <c r="D49" s="73"/>
      <c r="E49" s="73"/>
      <c r="F49" s="73"/>
      <c r="G49" s="73"/>
      <c r="H49" s="73"/>
      <c r="I49" s="73"/>
      <c r="J49" s="74"/>
    </row>
    <row r="50" spans="1:10" ht="13.95" customHeight="1" x14ac:dyDescent="0.25">
      <c r="A50" s="71"/>
      <c r="B50" s="75"/>
      <c r="C50" s="75"/>
      <c r="D50" s="75"/>
      <c r="E50" s="75"/>
      <c r="F50" s="75"/>
      <c r="G50" s="75"/>
      <c r="H50" s="75"/>
      <c r="I50" s="75"/>
      <c r="J50" s="76"/>
    </row>
    <row r="51" spans="1:10" ht="13.95" customHeight="1" x14ac:dyDescent="0.25">
      <c r="A51" s="71"/>
      <c r="B51" s="75"/>
      <c r="C51" s="75"/>
      <c r="D51" s="75"/>
      <c r="E51" s="75"/>
      <c r="F51" s="75"/>
      <c r="G51" s="75"/>
      <c r="H51" s="75"/>
      <c r="I51" s="75"/>
      <c r="J51" s="76"/>
    </row>
    <row r="52" spans="1:10" ht="13.95" customHeight="1" x14ac:dyDescent="0.25">
      <c r="A52" s="71"/>
      <c r="B52" s="75"/>
      <c r="C52" s="75"/>
      <c r="D52" s="75"/>
      <c r="E52" s="75"/>
      <c r="F52" s="75"/>
      <c r="G52" s="75"/>
      <c r="H52" s="75"/>
      <c r="I52" s="75"/>
      <c r="J52" s="76"/>
    </row>
    <row r="53" spans="1:10" ht="13.95" customHeight="1" x14ac:dyDescent="0.25">
      <c r="A53" s="71"/>
      <c r="B53" s="75"/>
      <c r="C53" s="75"/>
      <c r="D53" s="75"/>
      <c r="E53" s="75"/>
      <c r="F53" s="75"/>
      <c r="G53" s="75"/>
      <c r="H53" s="75"/>
      <c r="I53" s="75"/>
      <c r="J53" s="76"/>
    </row>
    <row r="54" spans="1:10" ht="13.95" customHeight="1" x14ac:dyDescent="0.25">
      <c r="A54" s="71"/>
      <c r="B54" s="75"/>
      <c r="C54" s="75"/>
      <c r="D54" s="75"/>
      <c r="E54" s="75"/>
      <c r="F54" s="75"/>
      <c r="G54" s="75"/>
      <c r="H54" s="75"/>
      <c r="I54" s="75"/>
      <c r="J54" s="76"/>
    </row>
    <row r="55" spans="1:10" ht="13.95" customHeight="1" x14ac:dyDescent="0.25">
      <c r="A55" s="71"/>
      <c r="B55" s="75"/>
      <c r="C55" s="75"/>
      <c r="D55" s="75"/>
      <c r="E55" s="75"/>
      <c r="F55" s="75"/>
      <c r="G55" s="75"/>
      <c r="H55" s="75"/>
      <c r="I55" s="75"/>
      <c r="J55" s="76"/>
    </row>
    <row r="56" spans="1:10" ht="14.4" customHeight="1" x14ac:dyDescent="0.25">
      <c r="A56" s="71"/>
      <c r="B56" s="75"/>
      <c r="C56" s="75"/>
      <c r="D56" s="75"/>
      <c r="E56" s="75"/>
      <c r="F56" s="75"/>
      <c r="G56" s="75"/>
      <c r="H56" s="75"/>
      <c r="I56" s="75"/>
      <c r="J56" s="76"/>
    </row>
    <row r="57" spans="1:10" ht="14.4" customHeight="1" x14ac:dyDescent="0.25">
      <c r="A57" s="71"/>
      <c r="B57" s="75"/>
      <c r="C57" s="75"/>
      <c r="D57" s="75"/>
      <c r="E57" s="75"/>
      <c r="F57" s="75"/>
      <c r="G57" s="75"/>
      <c r="H57" s="75"/>
      <c r="I57" s="75"/>
      <c r="J57" s="76"/>
    </row>
    <row r="58" spans="1:10" ht="14.4" customHeight="1" thickBot="1" x14ac:dyDescent="0.3">
      <c r="A58" s="72"/>
      <c r="B58" s="77"/>
      <c r="C58" s="77"/>
      <c r="D58" s="77"/>
      <c r="E58" s="77"/>
      <c r="F58" s="77"/>
      <c r="G58" s="77"/>
      <c r="H58" s="77"/>
      <c r="I58" s="77"/>
      <c r="J58" s="78"/>
    </row>
  </sheetData>
  <dataConsolidate/>
  <mergeCells count="26">
    <mergeCell ref="A15:B15"/>
    <mergeCell ref="C15:H15"/>
    <mergeCell ref="A20:A34"/>
    <mergeCell ref="A42:A47"/>
    <mergeCell ref="B42:J47"/>
    <mergeCell ref="A49:A58"/>
    <mergeCell ref="B49:J58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C2:K4"/>
    <mergeCell ref="A6:B6"/>
    <mergeCell ref="C6:H6"/>
    <mergeCell ref="A7:B7"/>
    <mergeCell ref="C7:H7"/>
    <mergeCell ref="A8:B8"/>
    <mergeCell ref="C8:H8"/>
  </mergeCells>
  <dataValidations count="4">
    <dataValidation type="list" allowBlank="1" showInputMessage="1" showErrorMessage="1" sqref="C8:H8" xr:uid="{7AE81A5D-E64C-4E6F-AE57-4742DA8BDD35}">
      <formula1>"Teklif,Yaklaşık Bedel"</formula1>
    </dataValidation>
    <dataValidation type="custom" allowBlank="1" showInputMessage="1" showErrorMessage="1" sqref="J10:K12" xr:uid="{0AB2BF9F-039D-44F2-A120-F4237C36038C}">
      <formula1>J10(TRUE,FALSE)</formula1>
    </dataValidation>
    <dataValidation type="list" allowBlank="1" showInputMessage="1" showErrorMessage="1" sqref="C10:H10" xr:uid="{CB419CDA-D35E-4AD2-816E-32FFCB3FC38C}">
      <formula1>"Yurtiçi,Yurtdışı"</formula1>
    </dataValidation>
    <dataValidation type="list" allowBlank="1" showInputMessage="1" showErrorMessage="1" sqref="C9:H9" xr:uid="{A9EA5420-6AA7-4B0C-A784-A2A0E9082E5B}">
      <formula1>"Retech,SVC"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61"/>
  <sheetViews>
    <sheetView tabSelected="1" topLeftCell="A13" zoomScale="55" zoomScaleNormal="55" workbookViewId="0">
      <selection activeCell="J40" sqref="J40"/>
    </sheetView>
  </sheetViews>
  <sheetFormatPr defaultColWidth="9.109375" defaultRowHeight="13.8" x14ac:dyDescent="0.25"/>
  <cols>
    <col min="1" max="1" width="25" style="1" customWidth="1"/>
    <col min="2" max="2" width="33.6640625" style="1" customWidth="1"/>
    <col min="3" max="3" width="34" style="1" customWidth="1"/>
    <col min="4" max="4" width="35.88671875" style="1" customWidth="1"/>
    <col min="5" max="5" width="51.88671875" style="1" hidden="1" customWidth="1"/>
    <col min="6" max="6" width="21.5546875" style="1" hidden="1" customWidth="1"/>
    <col min="7" max="7" width="17.3320312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9.6640625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15"/>
      <c r="B2" s="24" t="s">
        <v>23</v>
      </c>
      <c r="C2" s="55"/>
      <c r="D2" s="56"/>
      <c r="E2" s="56"/>
      <c r="F2" s="56"/>
      <c r="G2" s="56"/>
      <c r="H2" s="56"/>
      <c r="I2" s="56"/>
      <c r="J2" s="56"/>
      <c r="K2" s="57"/>
    </row>
    <row r="3" spans="1:14" ht="41.4" customHeight="1" x14ac:dyDescent="0.25">
      <c r="A3" s="16"/>
      <c r="B3" s="25" t="s">
        <v>25</v>
      </c>
      <c r="C3" s="58"/>
      <c r="D3" s="59"/>
      <c r="E3" s="59"/>
      <c r="F3" s="59"/>
      <c r="G3" s="59"/>
      <c r="H3" s="59"/>
      <c r="I3" s="59"/>
      <c r="J3" s="59"/>
      <c r="K3" s="60"/>
    </row>
    <row r="4" spans="1:14" ht="41.4" customHeight="1" thickBot="1" x14ac:dyDescent="0.3">
      <c r="A4" s="17"/>
      <c r="B4" s="26" t="s">
        <v>24</v>
      </c>
      <c r="C4" s="61"/>
      <c r="D4" s="62"/>
      <c r="E4" s="62"/>
      <c r="F4" s="62"/>
      <c r="G4" s="62"/>
      <c r="H4" s="62"/>
      <c r="I4" s="62"/>
      <c r="J4" s="62"/>
      <c r="K4" s="63"/>
    </row>
    <row r="5" spans="1:14" ht="33" customHeight="1" thickBot="1" x14ac:dyDescent="0.3">
      <c r="C5" s="5"/>
      <c r="K5" s="1"/>
    </row>
    <row r="6" spans="1:14" ht="17.399999999999999" x14ac:dyDescent="0.3">
      <c r="A6" s="65" t="s">
        <v>27</v>
      </c>
      <c r="B6" s="66"/>
      <c r="C6" s="67">
        <v>46150</v>
      </c>
      <c r="D6" s="68"/>
      <c r="E6" s="68"/>
      <c r="F6" s="68"/>
      <c r="G6" s="68"/>
      <c r="H6" s="69"/>
      <c r="K6" s="1"/>
    </row>
    <row r="7" spans="1:14" ht="17.399999999999999" x14ac:dyDescent="0.3">
      <c r="A7" s="50" t="s">
        <v>28</v>
      </c>
      <c r="B7" s="51"/>
      <c r="C7" s="64">
        <v>46155</v>
      </c>
      <c r="D7" s="53"/>
      <c r="E7" s="53"/>
      <c r="F7" s="53"/>
      <c r="G7" s="53"/>
      <c r="H7" s="54"/>
      <c r="K7" s="1"/>
    </row>
    <row r="8" spans="1:14" ht="20.399999999999999" customHeight="1" x14ac:dyDescent="0.35">
      <c r="A8" s="50" t="s">
        <v>26</v>
      </c>
      <c r="B8" s="51"/>
      <c r="C8" s="52" t="s">
        <v>33</v>
      </c>
      <c r="D8" s="53"/>
      <c r="E8" s="53"/>
      <c r="F8" s="53"/>
      <c r="G8" s="53"/>
      <c r="H8" s="54"/>
      <c r="J8" s="33" t="s">
        <v>75</v>
      </c>
      <c r="K8" s="33" t="s">
        <v>74</v>
      </c>
    </row>
    <row r="9" spans="1:14" s="4" customFormat="1" ht="18.899999999999999" customHeight="1" x14ac:dyDescent="0.35">
      <c r="A9" s="92" t="s">
        <v>8</v>
      </c>
      <c r="B9" s="93"/>
      <c r="C9" s="88" t="s">
        <v>29</v>
      </c>
      <c r="D9" s="88"/>
      <c r="E9" s="88"/>
      <c r="F9" s="88"/>
      <c r="G9" s="88"/>
      <c r="H9" s="89"/>
      <c r="I9" s="1"/>
      <c r="J9" s="33">
        <v>45.4</v>
      </c>
      <c r="K9" s="33">
        <v>53</v>
      </c>
      <c r="L9" s="1"/>
    </row>
    <row r="10" spans="1:14" s="4" customFormat="1" ht="20.399999999999999" customHeight="1" x14ac:dyDescent="0.35">
      <c r="A10" s="92" t="s">
        <v>14</v>
      </c>
      <c r="B10" s="93"/>
      <c r="C10" s="88" t="s">
        <v>15</v>
      </c>
      <c r="D10" s="88"/>
      <c r="E10" s="88"/>
      <c r="F10" s="88"/>
      <c r="G10" s="88"/>
      <c r="H10" s="89"/>
      <c r="I10" s="1"/>
      <c r="J10" s="33"/>
      <c r="K10" s="33"/>
      <c r="L10" s="1"/>
    </row>
    <row r="11" spans="1:14" s="4" customFormat="1" ht="21" customHeight="1" x14ac:dyDescent="0.35">
      <c r="A11" s="92" t="s">
        <v>9</v>
      </c>
      <c r="B11" s="93"/>
      <c r="C11" s="88" t="s">
        <v>34</v>
      </c>
      <c r="D11" s="88"/>
      <c r="E11" s="88"/>
      <c r="F11" s="88"/>
      <c r="G11" s="88"/>
      <c r="H11" s="89"/>
      <c r="I11" s="1"/>
      <c r="J11" s="33"/>
      <c r="K11" s="33"/>
      <c r="L11" s="1"/>
      <c r="M11" s="1"/>
    </row>
    <row r="12" spans="1:14" s="4" customFormat="1" ht="21" customHeight="1" x14ac:dyDescent="0.3">
      <c r="A12" s="50" t="s">
        <v>30</v>
      </c>
      <c r="B12" s="51"/>
      <c r="C12" s="52" t="s">
        <v>35</v>
      </c>
      <c r="D12" s="53"/>
      <c r="E12" s="53"/>
      <c r="F12" s="53"/>
      <c r="G12" s="53"/>
      <c r="H12" s="54"/>
      <c r="I12" s="1"/>
      <c r="J12" s="28"/>
      <c r="K12" s="28"/>
      <c r="L12" s="1"/>
      <c r="M12" s="1"/>
    </row>
    <row r="13" spans="1:14" s="4" customFormat="1" ht="21" customHeight="1" x14ac:dyDescent="0.3">
      <c r="A13" s="92" t="s">
        <v>16</v>
      </c>
      <c r="B13" s="93"/>
      <c r="C13" s="88" t="s">
        <v>36</v>
      </c>
      <c r="D13" s="88"/>
      <c r="E13" s="88"/>
      <c r="F13" s="88"/>
      <c r="G13" s="88"/>
      <c r="H13" s="89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92" t="s">
        <v>10</v>
      </c>
      <c r="B14" s="93"/>
      <c r="C14" s="88"/>
      <c r="D14" s="88"/>
      <c r="E14" s="88"/>
      <c r="F14" s="88"/>
      <c r="G14" s="88"/>
      <c r="H14" s="89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90" t="s">
        <v>13</v>
      </c>
      <c r="B15" s="91"/>
      <c r="C15" s="94">
        <v>1</v>
      </c>
      <c r="D15" s="94"/>
      <c r="E15" s="94"/>
      <c r="F15" s="94"/>
      <c r="G15" s="94"/>
      <c r="H15" s="95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x14ac:dyDescent="0.3">
      <c r="A17" s="21" t="s">
        <v>0</v>
      </c>
      <c r="B17" s="22" t="s">
        <v>3</v>
      </c>
      <c r="C17" s="22" t="s">
        <v>21</v>
      </c>
      <c r="D17" s="22" t="s">
        <v>4</v>
      </c>
      <c r="E17" s="22" t="s">
        <v>7</v>
      </c>
      <c r="F17" s="31" t="s">
        <v>32</v>
      </c>
      <c r="G17" s="22" t="s">
        <v>5</v>
      </c>
      <c r="H17" s="22" t="s">
        <v>1</v>
      </c>
      <c r="I17" s="23" t="s">
        <v>20</v>
      </c>
      <c r="J17" s="22" t="s">
        <v>22</v>
      </c>
      <c r="K17" s="22" t="s">
        <v>2</v>
      </c>
      <c r="L17" s="22" t="s">
        <v>6</v>
      </c>
    </row>
    <row r="18" spans="1:12" s="43" customFormat="1" ht="75.599999999999994" customHeight="1" x14ac:dyDescent="0.3">
      <c r="A18" s="36" t="s">
        <v>78</v>
      </c>
      <c r="B18" s="37" t="s">
        <v>79</v>
      </c>
      <c r="C18" s="37" t="s">
        <v>80</v>
      </c>
      <c r="D18" s="38"/>
      <c r="E18" s="39"/>
      <c r="F18" s="40"/>
      <c r="G18" s="13">
        <v>1</v>
      </c>
      <c r="H18" s="39"/>
      <c r="I18" s="41"/>
      <c r="J18" s="42"/>
      <c r="K18" s="34">
        <v>18000</v>
      </c>
      <c r="L18" s="34">
        <f>K18*G18</f>
        <v>18000</v>
      </c>
    </row>
    <row r="19" spans="1:12" s="43" customFormat="1" ht="58.2" customHeight="1" x14ac:dyDescent="0.3">
      <c r="A19" s="44" t="s">
        <v>81</v>
      </c>
      <c r="B19" s="37" t="s">
        <v>82</v>
      </c>
      <c r="C19" s="37" t="s">
        <v>83</v>
      </c>
      <c r="D19" s="45" t="s">
        <v>84</v>
      </c>
      <c r="E19" s="39"/>
      <c r="F19" s="40"/>
      <c r="G19" s="13">
        <v>1</v>
      </c>
      <c r="H19" s="39"/>
      <c r="I19" s="41"/>
      <c r="J19" s="42"/>
      <c r="K19" s="34">
        <v>49650</v>
      </c>
      <c r="L19" s="34">
        <f>K19*G19</f>
        <v>49650</v>
      </c>
    </row>
    <row r="20" spans="1:12" s="43" customFormat="1" ht="58.2" customHeight="1" x14ac:dyDescent="0.3">
      <c r="A20" s="44" t="s">
        <v>90</v>
      </c>
      <c r="B20" s="37"/>
      <c r="C20" s="37"/>
      <c r="D20" s="45"/>
      <c r="E20" s="39"/>
      <c r="F20" s="40"/>
      <c r="G20" s="13">
        <v>1</v>
      </c>
      <c r="H20" s="39"/>
      <c r="I20" s="41"/>
      <c r="J20" s="42"/>
      <c r="K20" s="34">
        <v>8750</v>
      </c>
      <c r="L20" s="34">
        <f>G20*K20</f>
        <v>8750</v>
      </c>
    </row>
    <row r="21" spans="1:12" s="43" customFormat="1" ht="87" x14ac:dyDescent="0.3">
      <c r="A21" s="44" t="s">
        <v>85</v>
      </c>
      <c r="B21" s="37" t="s">
        <v>86</v>
      </c>
      <c r="C21" s="37" t="s">
        <v>87</v>
      </c>
      <c r="D21" s="46" t="s">
        <v>88</v>
      </c>
      <c r="E21" s="39"/>
      <c r="F21" s="40"/>
      <c r="G21" s="13">
        <v>2</v>
      </c>
      <c r="H21" s="13" t="s">
        <v>89</v>
      </c>
      <c r="I21" s="41"/>
      <c r="J21" s="42"/>
      <c r="K21" s="34">
        <v>500</v>
      </c>
      <c r="L21" s="34">
        <f>K21*G21</f>
        <v>1000</v>
      </c>
    </row>
    <row r="22" spans="1:12" ht="48.6" customHeight="1" x14ac:dyDescent="0.25">
      <c r="A22" s="32" t="s">
        <v>38</v>
      </c>
      <c r="B22" s="29" t="s">
        <v>37</v>
      </c>
      <c r="C22" s="29" t="s">
        <v>37</v>
      </c>
      <c r="D22" s="12"/>
      <c r="E22" s="13"/>
      <c r="F22" s="13"/>
      <c r="G22" s="13">
        <v>2</v>
      </c>
      <c r="H22" s="13" t="s">
        <v>73</v>
      </c>
      <c r="I22" s="14"/>
      <c r="J22" s="14"/>
      <c r="K22" s="34">
        <v>2500</v>
      </c>
      <c r="L22" s="30">
        <f>G22*K22</f>
        <v>5000</v>
      </c>
    </row>
    <row r="23" spans="1:12" ht="43.95" customHeight="1" x14ac:dyDescent="0.25">
      <c r="A23" s="32" t="s">
        <v>31</v>
      </c>
      <c r="B23" s="29" t="s">
        <v>39</v>
      </c>
      <c r="C23" s="29" t="s">
        <v>39</v>
      </c>
      <c r="D23" s="12"/>
      <c r="E23" s="13"/>
      <c r="F23" s="13"/>
      <c r="G23" s="13">
        <v>7.5</v>
      </c>
      <c r="H23" s="13" t="s">
        <v>72</v>
      </c>
      <c r="I23" s="14"/>
      <c r="J23" s="14"/>
      <c r="K23" s="34">
        <v>692</v>
      </c>
      <c r="L23" s="30">
        <f t="shared" ref="L23:L40" si="0">G23*K23</f>
        <v>5190</v>
      </c>
    </row>
    <row r="24" spans="1:12" ht="32.4" x14ac:dyDescent="0.25">
      <c r="A24" s="47" t="s">
        <v>63</v>
      </c>
      <c r="B24" s="29" t="s">
        <v>40</v>
      </c>
      <c r="C24" s="29" t="s">
        <v>40</v>
      </c>
      <c r="D24" s="12"/>
      <c r="E24" s="13"/>
      <c r="F24" s="13"/>
      <c r="G24" s="13">
        <v>1</v>
      </c>
      <c r="H24" s="13" t="s">
        <v>70</v>
      </c>
      <c r="I24" s="14"/>
      <c r="J24" s="14"/>
      <c r="K24" s="34">
        <v>500</v>
      </c>
      <c r="L24" s="30">
        <f t="shared" si="0"/>
        <v>500</v>
      </c>
    </row>
    <row r="25" spans="1:12" ht="83.25" customHeight="1" x14ac:dyDescent="0.25">
      <c r="A25" s="48"/>
      <c r="B25" s="29" t="s">
        <v>41</v>
      </c>
      <c r="C25" s="29" t="s">
        <v>41</v>
      </c>
      <c r="D25" s="12"/>
      <c r="E25" s="13"/>
      <c r="F25" s="13"/>
      <c r="G25" s="13">
        <v>1</v>
      </c>
      <c r="H25" s="13" t="s">
        <v>70</v>
      </c>
      <c r="I25" s="14"/>
      <c r="J25" s="14"/>
      <c r="K25" s="34">
        <v>1350</v>
      </c>
      <c r="L25" s="30">
        <f t="shared" si="0"/>
        <v>1350</v>
      </c>
    </row>
    <row r="26" spans="1:12" ht="16.2" x14ac:dyDescent="0.25">
      <c r="A26" s="48"/>
      <c r="B26" s="12" t="s">
        <v>42</v>
      </c>
      <c r="C26" s="29" t="s">
        <v>43</v>
      </c>
      <c r="D26" s="12"/>
      <c r="E26" s="13"/>
      <c r="F26" s="13"/>
      <c r="G26" s="13">
        <v>1</v>
      </c>
      <c r="H26" s="13" t="s">
        <v>70</v>
      </c>
      <c r="I26" s="14"/>
      <c r="J26" s="14"/>
      <c r="K26" s="30">
        <v>160</v>
      </c>
      <c r="L26" s="30">
        <f t="shared" si="0"/>
        <v>160</v>
      </c>
    </row>
    <row r="27" spans="1:12" ht="16.2" x14ac:dyDescent="0.25">
      <c r="A27" s="48"/>
      <c r="B27" s="12" t="s">
        <v>44</v>
      </c>
      <c r="C27" s="29" t="s">
        <v>45</v>
      </c>
      <c r="D27" s="12"/>
      <c r="E27" s="13"/>
      <c r="F27" s="13"/>
      <c r="G27" s="13">
        <v>1</v>
      </c>
      <c r="H27" s="13" t="s">
        <v>70</v>
      </c>
      <c r="I27" s="14"/>
      <c r="J27" s="14"/>
      <c r="K27" s="30">
        <v>350</v>
      </c>
      <c r="L27" s="30">
        <f t="shared" si="0"/>
        <v>350</v>
      </c>
    </row>
    <row r="28" spans="1:12" ht="16.2" x14ac:dyDescent="0.25">
      <c r="A28" s="48"/>
      <c r="B28" s="12" t="s">
        <v>46</v>
      </c>
      <c r="C28" s="12" t="s">
        <v>47</v>
      </c>
      <c r="D28" s="12"/>
      <c r="E28" s="13"/>
      <c r="F28" s="13"/>
      <c r="G28" s="13">
        <v>2</v>
      </c>
      <c r="H28" s="13" t="s">
        <v>70</v>
      </c>
      <c r="I28" s="14"/>
      <c r="J28" s="14"/>
      <c r="K28" s="30">
        <v>1530</v>
      </c>
      <c r="L28" s="30">
        <f t="shared" si="0"/>
        <v>3060</v>
      </c>
    </row>
    <row r="29" spans="1:12" ht="16.2" x14ac:dyDescent="0.25">
      <c r="A29" s="48"/>
      <c r="B29" s="12" t="s">
        <v>48</v>
      </c>
      <c r="C29" s="12"/>
      <c r="D29" s="12"/>
      <c r="E29" s="13"/>
      <c r="F29" s="13"/>
      <c r="G29" s="13">
        <v>1</v>
      </c>
      <c r="H29" s="13" t="s">
        <v>70</v>
      </c>
      <c r="I29" s="14"/>
      <c r="J29" s="14"/>
      <c r="K29" s="30">
        <v>685</v>
      </c>
      <c r="L29" s="30">
        <f t="shared" si="0"/>
        <v>685</v>
      </c>
    </row>
    <row r="30" spans="1:12" ht="16.2" x14ac:dyDescent="0.25">
      <c r="A30" s="48"/>
      <c r="B30" s="12" t="s">
        <v>49</v>
      </c>
      <c r="C30" s="12"/>
      <c r="D30" s="12"/>
      <c r="E30" s="13"/>
      <c r="F30" s="13"/>
      <c r="G30" s="13">
        <v>1</v>
      </c>
      <c r="H30" s="13" t="s">
        <v>70</v>
      </c>
      <c r="I30" s="14"/>
      <c r="J30" s="14"/>
      <c r="K30" s="30">
        <v>300</v>
      </c>
      <c r="L30" s="30">
        <f t="shared" si="0"/>
        <v>300</v>
      </c>
    </row>
    <row r="31" spans="1:12" ht="16.2" x14ac:dyDescent="0.25">
      <c r="A31" s="48"/>
      <c r="B31" s="12" t="s">
        <v>50</v>
      </c>
      <c r="C31" s="12"/>
      <c r="D31" s="12"/>
      <c r="E31" s="13"/>
      <c r="F31" s="13"/>
      <c r="G31" s="13">
        <v>1</v>
      </c>
      <c r="H31" s="13" t="s">
        <v>70</v>
      </c>
      <c r="I31" s="14"/>
      <c r="J31" s="14"/>
      <c r="K31" s="30">
        <v>95</v>
      </c>
      <c r="L31" s="30">
        <f t="shared" si="0"/>
        <v>95</v>
      </c>
    </row>
    <row r="32" spans="1:12" ht="16.2" x14ac:dyDescent="0.25">
      <c r="A32" s="48"/>
      <c r="B32" s="12" t="s">
        <v>51</v>
      </c>
      <c r="C32" s="12"/>
      <c r="D32" s="12"/>
      <c r="E32" s="13"/>
      <c r="F32" s="13"/>
      <c r="G32" s="13">
        <v>1</v>
      </c>
      <c r="H32" s="13" t="s">
        <v>70</v>
      </c>
      <c r="I32" s="14"/>
      <c r="J32" s="14"/>
      <c r="K32" s="30">
        <v>1100</v>
      </c>
      <c r="L32" s="30">
        <f t="shared" si="0"/>
        <v>1100</v>
      </c>
    </row>
    <row r="33" spans="1:12" ht="16.2" x14ac:dyDescent="0.25">
      <c r="A33" s="48"/>
      <c r="B33" s="12" t="s">
        <v>52</v>
      </c>
      <c r="C33" s="12" t="s">
        <v>53</v>
      </c>
      <c r="D33" s="12"/>
      <c r="E33" s="13"/>
      <c r="F33" s="13"/>
      <c r="G33" s="13">
        <v>1</v>
      </c>
      <c r="H33" s="13" t="s">
        <v>70</v>
      </c>
      <c r="I33" s="14"/>
      <c r="J33" s="14"/>
      <c r="K33" s="30">
        <v>500</v>
      </c>
      <c r="L33" s="30">
        <f t="shared" si="0"/>
        <v>500</v>
      </c>
    </row>
    <row r="34" spans="1:12" ht="16.2" x14ac:dyDescent="0.25">
      <c r="A34" s="48"/>
      <c r="B34" s="12" t="s">
        <v>54</v>
      </c>
      <c r="C34" s="12" t="s">
        <v>55</v>
      </c>
      <c r="D34" s="12"/>
      <c r="E34" s="13"/>
      <c r="F34" s="13"/>
      <c r="G34" s="13">
        <v>1</v>
      </c>
      <c r="H34" s="13" t="s">
        <v>70</v>
      </c>
      <c r="I34" s="14"/>
      <c r="J34" s="14"/>
      <c r="K34" s="30">
        <v>550</v>
      </c>
      <c r="L34" s="30">
        <f t="shared" si="0"/>
        <v>550</v>
      </c>
    </row>
    <row r="35" spans="1:12" ht="16.2" x14ac:dyDescent="0.25">
      <c r="A35" s="48"/>
      <c r="B35" s="12" t="s">
        <v>56</v>
      </c>
      <c r="C35" s="12" t="s">
        <v>55</v>
      </c>
      <c r="D35" s="12"/>
      <c r="E35" s="13"/>
      <c r="F35" s="13"/>
      <c r="G35" s="13">
        <v>1</v>
      </c>
      <c r="H35" s="13" t="s">
        <v>70</v>
      </c>
      <c r="I35" s="14"/>
      <c r="J35" s="14"/>
      <c r="K35" s="30">
        <v>550</v>
      </c>
      <c r="L35" s="30">
        <f t="shared" si="0"/>
        <v>550</v>
      </c>
    </row>
    <row r="36" spans="1:12" ht="64.8" x14ac:dyDescent="0.25">
      <c r="A36" s="48"/>
      <c r="B36" s="12" t="s">
        <v>57</v>
      </c>
      <c r="C36" s="29" t="s">
        <v>58</v>
      </c>
      <c r="D36" s="12"/>
      <c r="E36" s="13"/>
      <c r="F36" s="13"/>
      <c r="G36" s="13">
        <v>1</v>
      </c>
      <c r="H36" s="13" t="s">
        <v>70</v>
      </c>
      <c r="I36" s="14"/>
      <c r="J36" s="14"/>
      <c r="K36" s="30">
        <v>370</v>
      </c>
      <c r="L36" s="30">
        <f t="shared" si="0"/>
        <v>370</v>
      </c>
    </row>
    <row r="37" spans="1:12" ht="25.95" customHeight="1" x14ac:dyDescent="0.25">
      <c r="A37" s="48"/>
      <c r="B37" s="12" t="s">
        <v>59</v>
      </c>
      <c r="C37" s="29" t="s">
        <v>60</v>
      </c>
      <c r="D37" s="12"/>
      <c r="E37" s="13"/>
      <c r="F37" s="13"/>
      <c r="G37" s="13">
        <v>1</v>
      </c>
      <c r="H37" s="13" t="s">
        <v>70</v>
      </c>
      <c r="I37" s="14"/>
      <c r="J37" s="14"/>
      <c r="K37" s="30">
        <v>270</v>
      </c>
      <c r="L37" s="30">
        <f t="shared" si="0"/>
        <v>270</v>
      </c>
    </row>
    <row r="38" spans="1:12" ht="114" customHeight="1" x14ac:dyDescent="0.25">
      <c r="A38" s="49"/>
      <c r="B38" s="12" t="s">
        <v>61</v>
      </c>
      <c r="C38" s="29" t="s">
        <v>62</v>
      </c>
      <c r="D38" s="12"/>
      <c r="E38" s="13"/>
      <c r="F38" s="13"/>
      <c r="G38" s="13">
        <v>1</v>
      </c>
      <c r="H38" s="13" t="s">
        <v>70</v>
      </c>
      <c r="I38" s="14"/>
      <c r="J38" s="14"/>
      <c r="K38" s="30">
        <v>800</v>
      </c>
      <c r="L38" s="30">
        <f t="shared" si="0"/>
        <v>800</v>
      </c>
    </row>
    <row r="39" spans="1:12" ht="88.95" customHeight="1" x14ac:dyDescent="0.25">
      <c r="A39" s="32" t="s">
        <v>64</v>
      </c>
      <c r="B39" s="29" t="s">
        <v>65</v>
      </c>
      <c r="C39" s="29" t="s">
        <v>68</v>
      </c>
      <c r="D39" s="12"/>
      <c r="E39" s="13"/>
      <c r="F39" s="13"/>
      <c r="G39" s="13">
        <v>1</v>
      </c>
      <c r="H39" s="13" t="s">
        <v>70</v>
      </c>
      <c r="I39" s="14" t="s">
        <v>77</v>
      </c>
      <c r="J39" s="14" t="s">
        <v>76</v>
      </c>
      <c r="K39" s="30">
        <v>7832</v>
      </c>
      <c r="L39" s="30">
        <f t="shared" si="0"/>
        <v>7832</v>
      </c>
    </row>
    <row r="40" spans="1:12" ht="114" customHeight="1" x14ac:dyDescent="0.25">
      <c r="A40" s="32" t="s">
        <v>66</v>
      </c>
      <c r="B40" s="29" t="s">
        <v>67</v>
      </c>
      <c r="C40" s="29" t="s">
        <v>69</v>
      </c>
      <c r="D40" s="12"/>
      <c r="E40" s="13"/>
      <c r="F40" s="13"/>
      <c r="G40" s="13">
        <v>1</v>
      </c>
      <c r="H40" s="13" t="s">
        <v>71</v>
      </c>
      <c r="I40" s="14" t="s">
        <v>77</v>
      </c>
      <c r="J40" s="14" t="s">
        <v>76</v>
      </c>
      <c r="K40" s="30">
        <v>2500</v>
      </c>
      <c r="L40" s="30">
        <f t="shared" si="0"/>
        <v>2500</v>
      </c>
    </row>
    <row r="41" spans="1:12" ht="27.6" customHeight="1" thickBot="1" x14ac:dyDescent="0.3">
      <c r="A41" s="6"/>
      <c r="B41" s="7"/>
      <c r="C41" s="6"/>
      <c r="D41" s="8"/>
      <c r="E41" s="8"/>
      <c r="F41" s="8"/>
      <c r="G41" s="8"/>
      <c r="H41" s="9"/>
      <c r="I41" s="7"/>
      <c r="J41" s="10"/>
      <c r="K41" s="11"/>
      <c r="L41" s="11"/>
    </row>
    <row r="42" spans="1:12" ht="27.6" customHeight="1" thickBot="1" x14ac:dyDescent="0.3">
      <c r="A42" s="6"/>
      <c r="B42" s="7"/>
      <c r="C42" s="6"/>
      <c r="D42" s="8"/>
      <c r="E42" s="8"/>
      <c r="F42" s="8"/>
      <c r="G42" s="8"/>
      <c r="H42" s="9"/>
      <c r="I42" s="7"/>
      <c r="J42" s="10"/>
      <c r="K42" s="18" t="s">
        <v>12</v>
      </c>
      <c r="L42" s="19">
        <f>SUM(L18:L41)</f>
        <v>108562</v>
      </c>
    </row>
    <row r="43" spans="1:12" ht="27.6" customHeight="1" thickBot="1" x14ac:dyDescent="0.3">
      <c r="A43" s="6"/>
      <c r="B43" s="7"/>
      <c r="C43" s="6"/>
      <c r="D43" s="8"/>
      <c r="E43" s="8"/>
      <c r="F43" s="8"/>
      <c r="G43" s="8"/>
      <c r="H43" s="9"/>
      <c r="I43" s="7"/>
      <c r="J43" s="10"/>
      <c r="K43" s="18" t="s">
        <v>11</v>
      </c>
      <c r="L43" s="20">
        <f>L42/K9</f>
        <v>2048.3396226415093</v>
      </c>
    </row>
    <row r="44" spans="1:12" ht="20.399999999999999" customHeight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L44" s="2"/>
    </row>
    <row r="45" spans="1:12" ht="45" customHeight="1" x14ac:dyDescent="0.5">
      <c r="A45" s="79" t="s">
        <v>17</v>
      </c>
      <c r="B45" s="82"/>
      <c r="C45" s="82"/>
      <c r="D45" s="82"/>
      <c r="E45" s="82"/>
      <c r="F45" s="82"/>
      <c r="G45" s="82"/>
      <c r="H45" s="82"/>
      <c r="I45" s="82"/>
      <c r="J45" s="83"/>
      <c r="L45" s="35">
        <f>L42*1.35</f>
        <v>146558.70000000001</v>
      </c>
    </row>
    <row r="46" spans="1:12" x14ac:dyDescent="0.25">
      <c r="A46" s="80"/>
      <c r="B46" s="84"/>
      <c r="C46" s="84"/>
      <c r="D46" s="84"/>
      <c r="E46" s="84"/>
      <c r="F46" s="84"/>
      <c r="G46" s="84"/>
      <c r="H46" s="84"/>
      <c r="I46" s="84"/>
      <c r="J46" s="85"/>
    </row>
    <row r="47" spans="1:12" x14ac:dyDescent="0.25">
      <c r="A47" s="80"/>
      <c r="B47" s="84"/>
      <c r="C47" s="84"/>
      <c r="D47" s="84"/>
      <c r="E47" s="84"/>
      <c r="F47" s="84"/>
      <c r="G47" s="84"/>
      <c r="H47" s="84"/>
      <c r="I47" s="84"/>
      <c r="J47" s="85"/>
    </row>
    <row r="48" spans="1:12" ht="51" customHeight="1" x14ac:dyDescent="0.25">
      <c r="A48" s="80"/>
      <c r="B48" s="84"/>
      <c r="C48" s="84"/>
      <c r="D48" s="84"/>
      <c r="E48" s="84"/>
      <c r="F48" s="84"/>
      <c r="G48" s="84"/>
      <c r="H48" s="84"/>
      <c r="I48" s="84"/>
      <c r="J48" s="85"/>
    </row>
    <row r="49" spans="1:10" x14ac:dyDescent="0.25">
      <c r="A49" s="80"/>
      <c r="B49" s="84"/>
      <c r="C49" s="84"/>
      <c r="D49" s="84"/>
      <c r="E49" s="84"/>
      <c r="F49" s="84"/>
      <c r="G49" s="84"/>
      <c r="H49" s="84"/>
      <c r="I49" s="84"/>
      <c r="J49" s="85"/>
    </row>
    <row r="50" spans="1:10" ht="14.4" thickBot="1" x14ac:dyDescent="0.3">
      <c r="A50" s="81"/>
      <c r="B50" s="86"/>
      <c r="C50" s="86"/>
      <c r="D50" s="86"/>
      <c r="E50" s="86"/>
      <c r="F50" s="86"/>
      <c r="G50" s="86"/>
      <c r="H50" s="86"/>
      <c r="I50" s="86"/>
      <c r="J50" s="87"/>
    </row>
    <row r="51" spans="1:10" ht="21.6" thickBot="1" x14ac:dyDescent="0.4">
      <c r="A51" s="27"/>
    </row>
    <row r="52" spans="1:10" ht="13.95" customHeight="1" x14ac:dyDescent="0.25">
      <c r="A52" s="70" t="s">
        <v>18</v>
      </c>
      <c r="B52" s="73" t="s">
        <v>19</v>
      </c>
      <c r="C52" s="73"/>
      <c r="D52" s="73"/>
      <c r="E52" s="73"/>
      <c r="F52" s="73"/>
      <c r="G52" s="73"/>
      <c r="H52" s="73"/>
      <c r="I52" s="73"/>
      <c r="J52" s="74"/>
    </row>
    <row r="53" spans="1:10" ht="13.95" customHeight="1" x14ac:dyDescent="0.25">
      <c r="A53" s="71"/>
      <c r="B53" s="75"/>
      <c r="C53" s="75"/>
      <c r="D53" s="75"/>
      <c r="E53" s="75"/>
      <c r="F53" s="75"/>
      <c r="G53" s="75"/>
      <c r="H53" s="75"/>
      <c r="I53" s="75"/>
      <c r="J53" s="76"/>
    </row>
    <row r="54" spans="1:10" ht="13.95" customHeight="1" x14ac:dyDescent="0.25">
      <c r="A54" s="71"/>
      <c r="B54" s="75"/>
      <c r="C54" s="75"/>
      <c r="D54" s="75"/>
      <c r="E54" s="75"/>
      <c r="F54" s="75"/>
      <c r="G54" s="75"/>
      <c r="H54" s="75"/>
      <c r="I54" s="75"/>
      <c r="J54" s="76"/>
    </row>
    <row r="55" spans="1:10" ht="13.95" customHeight="1" x14ac:dyDescent="0.25">
      <c r="A55" s="71"/>
      <c r="B55" s="75"/>
      <c r="C55" s="75"/>
      <c r="D55" s="75"/>
      <c r="E55" s="75"/>
      <c r="F55" s="75"/>
      <c r="G55" s="75"/>
      <c r="H55" s="75"/>
      <c r="I55" s="75"/>
      <c r="J55" s="76"/>
    </row>
    <row r="56" spans="1:10" ht="13.95" customHeight="1" x14ac:dyDescent="0.25">
      <c r="A56" s="71"/>
      <c r="B56" s="75"/>
      <c r="C56" s="75"/>
      <c r="D56" s="75"/>
      <c r="E56" s="75"/>
      <c r="F56" s="75"/>
      <c r="G56" s="75"/>
      <c r="H56" s="75"/>
      <c r="I56" s="75"/>
      <c r="J56" s="76"/>
    </row>
    <row r="57" spans="1:10" ht="13.95" customHeight="1" x14ac:dyDescent="0.25">
      <c r="A57" s="71"/>
      <c r="B57" s="75"/>
      <c r="C57" s="75"/>
      <c r="D57" s="75"/>
      <c r="E57" s="75"/>
      <c r="F57" s="75"/>
      <c r="G57" s="75"/>
      <c r="H57" s="75"/>
      <c r="I57" s="75"/>
      <c r="J57" s="76"/>
    </row>
    <row r="58" spans="1:10" ht="13.95" customHeight="1" x14ac:dyDescent="0.25">
      <c r="A58" s="71"/>
      <c r="B58" s="75"/>
      <c r="C58" s="75"/>
      <c r="D58" s="75"/>
      <c r="E58" s="75"/>
      <c r="F58" s="75"/>
      <c r="G58" s="75"/>
      <c r="H58" s="75"/>
      <c r="I58" s="75"/>
      <c r="J58" s="76"/>
    </row>
    <row r="59" spans="1:10" ht="14.4" customHeight="1" x14ac:dyDescent="0.25">
      <c r="A59" s="71"/>
      <c r="B59" s="75"/>
      <c r="C59" s="75"/>
      <c r="D59" s="75"/>
      <c r="E59" s="75"/>
      <c r="F59" s="75"/>
      <c r="G59" s="75"/>
      <c r="H59" s="75"/>
      <c r="I59" s="75"/>
      <c r="J59" s="76"/>
    </row>
    <row r="60" spans="1:10" ht="14.4" customHeight="1" x14ac:dyDescent="0.25">
      <c r="A60" s="71"/>
      <c r="B60" s="75"/>
      <c r="C60" s="75"/>
      <c r="D60" s="75"/>
      <c r="E60" s="75"/>
      <c r="F60" s="75"/>
      <c r="G60" s="75"/>
      <c r="H60" s="75"/>
      <c r="I60" s="75"/>
      <c r="J60" s="76"/>
    </row>
    <row r="61" spans="1:10" ht="14.4" customHeight="1" thickBot="1" x14ac:dyDescent="0.3">
      <c r="A61" s="72"/>
      <c r="B61" s="77"/>
      <c r="C61" s="77"/>
      <c r="D61" s="77"/>
      <c r="E61" s="77"/>
      <c r="F61" s="77"/>
      <c r="G61" s="77"/>
      <c r="H61" s="77"/>
      <c r="I61" s="77"/>
      <c r="J61" s="78"/>
    </row>
  </sheetData>
  <dataConsolidate/>
  <mergeCells count="26">
    <mergeCell ref="A52:A61"/>
    <mergeCell ref="B52:J61"/>
    <mergeCell ref="A45:A50"/>
    <mergeCell ref="B45:J50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  <mergeCell ref="A24:A38"/>
    <mergeCell ref="A12:B12"/>
    <mergeCell ref="C12:H12"/>
    <mergeCell ref="C2:K4"/>
    <mergeCell ref="C7:H7"/>
    <mergeCell ref="A7:B7"/>
    <mergeCell ref="A8:B8"/>
    <mergeCell ref="C8:H8"/>
    <mergeCell ref="A6:B6"/>
    <mergeCell ref="C6:H6"/>
  </mergeCells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1.versiyon</vt:lpstr>
      <vt:lpstr>2.versyon</vt:lpstr>
      <vt:lpstr>'1.versiyon'!Yazdırma_Alanı</vt:lpstr>
      <vt:lpstr>'2.versyon'!Yazdırma_Alanı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2026-05-20T11:15:51Z</dcterms:modified>
</cp:coreProperties>
</file>