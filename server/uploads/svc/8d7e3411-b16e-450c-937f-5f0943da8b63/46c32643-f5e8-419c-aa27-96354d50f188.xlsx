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sman.ertugral\Desktop\Ford Ranger Arama Kurtarma  15 Adet\"/>
    </mc:Choice>
  </mc:AlternateContent>
  <xr:revisionPtr revIDLastSave="0" documentId="13_ncr:1_{FF60C2ED-48CF-434C-869E-C5CD283247BA}" xr6:coauthVersionLast="47" xr6:coauthVersionMax="47" xr10:uidLastSave="{00000000-0000-0000-0000-000000000000}"/>
  <bookViews>
    <workbookView xWindow="-120" yWindow="-120" windowWidth="29040" windowHeight="15720" xr2:uid="{BA95FC1E-CD1B-490F-9A0C-080875F12861}"/>
  </bookViews>
  <sheets>
    <sheet name="FIBER KANOPI" sheetId="6" r:id="rId1"/>
  </sheets>
  <definedNames>
    <definedName name="_xlnm.Print_Area" localSheetId="0">'FIBER KANOPI'!$A$1:$L$56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6" l="1"/>
  <c r="L31" i="6"/>
  <c r="L30" i="6"/>
  <c r="L23" i="6"/>
  <c r="L24" i="6" l="1"/>
  <c r="L33" i="6" l="1"/>
  <c r="L21" i="6"/>
  <c r="L22" i="6"/>
  <c r="L25" i="6"/>
  <c r="L27" i="6"/>
  <c r="L28" i="6"/>
  <c r="L29" i="6"/>
  <c r="L32" i="6"/>
  <c r="L34" i="6"/>
  <c r="L18" i="6"/>
  <c r="L19" i="6"/>
  <c r="L20" i="6"/>
  <c r="L17" i="6"/>
  <c r="L37" i="6" l="1"/>
  <c r="L38" i="6" s="1"/>
</calcChain>
</file>

<file path=xl/sharedStrings.xml><?xml version="1.0" encoding="utf-8"?>
<sst xmlns="http://schemas.openxmlformats.org/spreadsheetml/2006/main" count="111" uniqueCount="85">
  <si>
    <t>Kategori</t>
  </si>
  <si>
    <t>Birim</t>
  </si>
  <si>
    <t>Birim Fiyat</t>
  </si>
  <si>
    <t>Parça / Ürün Adı</t>
  </si>
  <si>
    <t>Marka</t>
  </si>
  <si>
    <t>Ölçü / Ebat</t>
  </si>
  <si>
    <t>Toplam Fiyat</t>
  </si>
  <si>
    <t>Görsel</t>
  </si>
  <si>
    <t>PROJE</t>
  </si>
  <si>
    <t>ÜSTYAPI</t>
  </si>
  <si>
    <t>RENK</t>
  </si>
  <si>
    <t>Euro</t>
  </si>
  <si>
    <t>TL</t>
  </si>
  <si>
    <t>Dolar</t>
  </si>
  <si>
    <t>ADET</t>
  </si>
  <si>
    <t>ÜLKE</t>
  </si>
  <si>
    <t>Yurtiçi</t>
  </si>
  <si>
    <t>KURUM / FİRMA</t>
  </si>
  <si>
    <t xml:space="preserve">MÜŞTERİ
ÖZEL NOTU </t>
  </si>
  <si>
    <t xml:space="preserve">SATIN ALMA
ÖZEL NOTU </t>
  </si>
  <si>
    <t>SATIN ALMA DEPARTMANI TARAFINDAN DOLDURULACAK</t>
  </si>
  <si>
    <t>Satın Alma Notu</t>
  </si>
  <si>
    <t>Parça Açıklaması</t>
  </si>
  <si>
    <t>Termin</t>
  </si>
  <si>
    <t>Satış Departmanı</t>
  </si>
  <si>
    <t>Satın Alma Departmanı</t>
  </si>
  <si>
    <t>Ürün &amp; ARGE Departmanı</t>
  </si>
  <si>
    <t xml:space="preserve">TEKLİF TÜRÜ </t>
  </si>
  <si>
    <t>Ürün Departmanı Notu</t>
  </si>
  <si>
    <t>OLUŞTURULAN TARİH</t>
  </si>
  <si>
    <t>TEKLİF VERİLECEK TARİH</t>
  </si>
  <si>
    <t>SVC</t>
  </si>
  <si>
    <t>Otokoç</t>
  </si>
  <si>
    <t>Cam Filmi</t>
  </si>
  <si>
    <t>Ön kabine 2 numaralı film
uygulanacaktır.</t>
  </si>
  <si>
    <t>adet</t>
  </si>
  <si>
    <t>Elektrik Tesisatı</t>
  </si>
  <si>
    <t>Spiral boru içinden 
geçecektir</t>
  </si>
  <si>
    <t>Takviye Kablosu</t>
  </si>
  <si>
    <t>Akü takviye kablosu</t>
  </si>
  <si>
    <t>1200 Amper
5 mt uzunluğunda 
25mm² kalınlığında bakır kablo</t>
  </si>
  <si>
    <t>Kamera</t>
  </si>
  <si>
    <t>Dikiz aynası kamerası</t>
  </si>
  <si>
    <t>Çeki Vinci</t>
  </si>
  <si>
    <t xml:space="preserve"> adet</t>
  </si>
  <si>
    <t>Arka Kanopi</t>
  </si>
  <si>
    <t xml:space="preserve">5000 KG 
25 Metre Halat
8,5 mm kalınlık
(Kaynak değil montajlı : 8mm ST 52 Sac) 
Joystick kumandalı 
EMC Raporu istenmektedir </t>
  </si>
  <si>
    <t>Ön Koruma Barı</t>
  </si>
  <si>
    <t>Telsiz Anten
Hazırlığı</t>
  </si>
  <si>
    <t>Armas</t>
  </si>
  <si>
    <r>
      <t xml:space="preserve">RG58AU </t>
    </r>
    <r>
      <rPr>
        <b/>
        <sz val="13"/>
        <color theme="1"/>
        <rFont val="Century Gothic"/>
        <family val="2"/>
        <charset val="162"/>
      </rPr>
      <t xml:space="preserve">
(Şartnameden detayları alabilirsiniz)</t>
    </r>
  </si>
  <si>
    <t>4X4- FIBER KANOPILI ARAMA KURTARMA ARACI</t>
  </si>
  <si>
    <t>Teklif</t>
  </si>
  <si>
    <t>Yazı Şerit Sticker</t>
  </si>
  <si>
    <t>set</t>
  </si>
  <si>
    <r>
      <t xml:space="preserve">ASTM DE 495607 Tip 5 
</t>
    </r>
    <r>
      <rPr>
        <b/>
        <sz val="13"/>
        <color theme="1"/>
        <rFont val="Century Gothic"/>
        <family val="2"/>
        <charset val="162"/>
      </rPr>
      <t>Şartnameden görselleri alabilirsiniz.</t>
    </r>
  </si>
  <si>
    <t>1080P 30FPs SD karta kayıt yapan 64 GB SD kart</t>
  </si>
  <si>
    <t xml:space="preserve">CTP-Yanları camsız
</t>
  </si>
  <si>
    <t xml:space="preserve">Yanları Camsız
3.Stop Lambalı
Metal Malzemeler 304 Kalite </t>
  </si>
  <si>
    <t xml:space="preserve"> 304 KalitePaslanmaz Çelik
76 mm yanlar
50mm orta boru 
</t>
  </si>
  <si>
    <t>Arka Projektor</t>
  </si>
  <si>
    <t>1000 Lümen
E Belgeli</t>
  </si>
  <si>
    <t xml:space="preserve">7 pinli
e belgeli
</t>
  </si>
  <si>
    <t>Kasa Havuzu</t>
  </si>
  <si>
    <t>metal kabin</t>
  </si>
  <si>
    <t>bir önceki alınan fiyata istinaden güncellendi</t>
  </si>
  <si>
    <t>hella marka-teklif 1 hafta geçerli</t>
  </si>
  <si>
    <t>Armas Montaj</t>
  </si>
  <si>
    <t>50$ + Kdv Araç başı montaj ücreti bulunuyor</t>
  </si>
  <si>
    <t>Çeki Vinci Montaj</t>
  </si>
  <si>
    <t>Montaj</t>
  </si>
  <si>
    <t>Çeki Vinci Tabla (Braket)</t>
  </si>
  <si>
    <t>Braket</t>
  </si>
  <si>
    <t>Adet</t>
  </si>
  <si>
    <t>10 Gün</t>
  </si>
  <si>
    <t>Çeki Demiri Elektrik tesisatı</t>
  </si>
  <si>
    <t>Tesisat</t>
  </si>
  <si>
    <t>Çeki Demiri Montaj</t>
  </si>
  <si>
    <t>Çeki Demiri Topuz</t>
  </si>
  <si>
    <t>Agus</t>
  </si>
  <si>
    <t>PROJEDE ELEKTRİK TESİSATI GEREKTİRCEK BİR ÇALIŞMA GÖRÜNMÜYOR</t>
  </si>
  <si>
    <t>Şartnameye göre telsiz ahzırlığı ve siren vs her şey dahildir</t>
  </si>
  <si>
    <t>Avc</t>
  </si>
  <si>
    <t>PWD30 - Winch Bracket (8mm Vinci monte etmek için
kullanılacak tabla)  
Avc</t>
  </si>
  <si>
    <t>Arka Kanopi Montaj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</si>
</sst>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₺-41F]* #,##0.00_-;\-[$₺-41F]* #,##0.00_-;_-[$₺-41F]* &quot;-&quot;??_-;_-@_-"/>
  </numFmts>
  <fonts count="1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  <font>
      <b/>
      <sz val="16"/>
      <color rgb="FFFF0000"/>
      <name val="Century Gothic"/>
      <family val="2"/>
      <charset val="162"/>
    </font>
    <font>
      <b/>
      <sz val="13"/>
      <color theme="1"/>
      <name val="Century Gothic"/>
      <family val="2"/>
      <charset val="162"/>
    </font>
    <font>
      <sz val="13"/>
      <color rgb="FFFF0000"/>
      <name val="Century Gothic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44" fontId="7" fillId="0" borderId="0" xfId="2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5" fillId="4" borderId="27" xfId="0" applyFont="1" applyFill="1" applyBorder="1"/>
    <xf numFmtId="0" fontId="5" fillId="5" borderId="28" xfId="0" applyFont="1" applyFill="1" applyBorder="1"/>
    <xf numFmtId="0" fontId="5" fillId="3" borderId="29" xfId="0" applyFont="1" applyFill="1" applyBorder="1"/>
    <xf numFmtId="44" fontId="8" fillId="2" borderId="5" xfId="0" applyNumberFormat="1" applyFont="1" applyFill="1" applyBorder="1" applyAlignment="1">
      <alignment horizontal="right" vertical="center"/>
    </xf>
    <xf numFmtId="165" fontId="9" fillId="0" borderId="9" xfId="2" applyNumberFormat="1" applyFont="1" applyBorder="1" applyAlignment="1">
      <alignment horizontal="center" vertical="center"/>
    </xf>
    <xf numFmtId="164" fontId="9" fillId="0" borderId="12" xfId="2" applyNumberFormat="1" applyFont="1" applyBorder="1" applyAlignment="1">
      <alignment horizontal="center" vertical="center"/>
    </xf>
    <xf numFmtId="0" fontId="6" fillId="2" borderId="30" xfId="0" applyFont="1" applyFill="1" applyBorder="1"/>
    <xf numFmtId="0" fontId="6" fillId="2" borderId="31" xfId="0" applyFont="1" applyFill="1" applyBorder="1"/>
    <xf numFmtId="0" fontId="6" fillId="2" borderId="31" xfId="0" applyFont="1" applyFill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10" fillId="0" borderId="0" xfId="0" applyFont="1"/>
    <xf numFmtId="165" fontId="7" fillId="3" borderId="1" xfId="2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44" fontId="7" fillId="3" borderId="1" xfId="2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14" fontId="6" fillId="4" borderId="32" xfId="0" applyNumberFormat="1" applyFont="1" applyFill="1" applyBorder="1" applyAlignment="1">
      <alignment horizontal="center"/>
    </xf>
    <xf numFmtId="14" fontId="6" fillId="4" borderId="33" xfId="0" applyNumberFormat="1" applyFont="1" applyFill="1" applyBorder="1" applyAlignment="1">
      <alignment horizontal="center"/>
    </xf>
    <xf numFmtId="14" fontId="6" fillId="4" borderId="34" xfId="0" applyNumberFormat="1" applyFont="1" applyFill="1" applyBorder="1" applyAlignment="1">
      <alignment horizontal="center"/>
    </xf>
  </cellXfs>
  <cellStyles count="3">
    <cellStyle name="Normal" xfId="0" builtinId="0"/>
    <cellStyle name="Normal 2" xfId="1" xr:uid="{B4716F7D-D368-4BBC-B121-95FEF976DFCE}"/>
    <cellStyle name="ParaBirimi" xfId="2" builtinId="4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1052946</xdr:colOff>
      <xdr:row>1</xdr:row>
      <xdr:rowOff>152401</xdr:rowOff>
    </xdr:from>
    <xdr:to>
      <xdr:col>8</xdr:col>
      <xdr:colOff>2299856</xdr:colOff>
      <xdr:row>3</xdr:row>
      <xdr:rowOff>484909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085FF84-08A7-119F-CBF4-A25E06975E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0086110" y="304801"/>
          <a:ext cx="5569528" cy="1399308"/>
        </a:xfrm>
        <a:prstGeom prst="rect">
          <a:avLst/>
        </a:prstGeom>
      </xdr:spPr>
    </xdr:pic>
    <xdr:clientData/>
  </xdr:twoCellAnchor>
  <xdr:twoCellAnchor editAs="oneCell">
    <xdr:from>
      <xdr:col>3</xdr:col>
      <xdr:colOff>21771</xdr:colOff>
      <xdr:row>19</xdr:row>
      <xdr:rowOff>435429</xdr:rowOff>
    </xdr:from>
    <xdr:to>
      <xdr:col>3</xdr:col>
      <xdr:colOff>3415862</xdr:colOff>
      <xdr:row>19</xdr:row>
      <xdr:rowOff>1817060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D27E2C51-DEC9-1DC7-A500-4D88FCBC1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6114" y="11636829"/>
          <a:ext cx="3394091" cy="1381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2AA2-11EF-4A58-9CFA-A818A514864B}">
  <sheetPr>
    <pageSetUpPr fitToPage="1"/>
  </sheetPr>
  <dimension ref="A1:N56"/>
  <sheetViews>
    <sheetView tabSelected="1" topLeftCell="A24" zoomScale="55" zoomScaleNormal="55" workbookViewId="0">
      <selection activeCell="L17" sqref="L17:L34"/>
    </sheetView>
  </sheetViews>
  <sheetFormatPr defaultColWidth="9.140625" defaultRowHeight="16.5" x14ac:dyDescent="0.3"/>
  <cols>
    <col min="1" max="1" width="26.140625" style="1" customWidth="1"/>
    <col min="2" max="2" width="33.7109375" style="1" customWidth="1"/>
    <col min="3" max="3" width="34" style="1" customWidth="1"/>
    <col min="4" max="4" width="57.42578125" style="1" bestFit="1" customWidth="1"/>
    <col min="5" max="5" width="25.28515625" style="1" customWidth="1"/>
    <col min="6" max="6" width="31.28515625" style="1" bestFit="1" customWidth="1"/>
    <col min="7" max="7" width="20.28515625" style="1" customWidth="1"/>
    <col min="8" max="8" width="15.42578125" style="1" customWidth="1"/>
    <col min="9" max="9" width="71.85546875" style="1" customWidth="1"/>
    <col min="10" max="10" width="23.140625" style="1" customWidth="1"/>
    <col min="11" max="11" width="20.7109375" style="3" customWidth="1"/>
    <col min="12" max="12" width="31.5703125" style="1" customWidth="1"/>
    <col min="13" max="16384" width="9.140625" style="1"/>
  </cols>
  <sheetData>
    <row r="1" spans="1:14" ht="12" customHeight="1" thickBot="1" x14ac:dyDescent="0.35"/>
    <row r="2" spans="1:14" ht="42.6" customHeight="1" x14ac:dyDescent="0.3">
      <c r="A2" s="21"/>
      <c r="B2" s="30" t="s">
        <v>24</v>
      </c>
      <c r="C2" s="66"/>
      <c r="D2" s="67"/>
      <c r="E2" s="67"/>
      <c r="F2" s="67"/>
      <c r="G2" s="67"/>
      <c r="H2" s="67"/>
      <c r="I2" s="67"/>
      <c r="J2" s="67"/>
      <c r="K2" s="68"/>
    </row>
    <row r="3" spans="1:14" ht="41.45" customHeight="1" x14ac:dyDescent="0.3">
      <c r="A3" s="22"/>
      <c r="B3" s="31" t="s">
        <v>26</v>
      </c>
      <c r="C3" s="69"/>
      <c r="D3" s="70"/>
      <c r="E3" s="70"/>
      <c r="F3" s="70"/>
      <c r="G3" s="70"/>
      <c r="H3" s="70"/>
      <c r="I3" s="70"/>
      <c r="J3" s="70"/>
      <c r="K3" s="71"/>
    </row>
    <row r="4" spans="1:14" ht="41.45" customHeight="1" thickBot="1" x14ac:dyDescent="0.35">
      <c r="A4" s="23"/>
      <c r="B4" s="32" t="s">
        <v>25</v>
      </c>
      <c r="C4" s="72"/>
      <c r="D4" s="73"/>
      <c r="E4" s="73"/>
      <c r="F4" s="73"/>
      <c r="G4" s="73"/>
      <c r="H4" s="73"/>
      <c r="I4" s="73"/>
      <c r="J4" s="73"/>
      <c r="K4" s="74"/>
    </row>
    <row r="5" spans="1:14" ht="33" customHeight="1" thickBot="1" x14ac:dyDescent="0.35">
      <c r="C5" s="5"/>
      <c r="K5" s="1"/>
    </row>
    <row r="6" spans="1:14" ht="18.75" x14ac:dyDescent="0.3">
      <c r="A6" s="81" t="s">
        <v>29</v>
      </c>
      <c r="B6" s="82"/>
      <c r="C6" s="83">
        <v>46115</v>
      </c>
      <c r="D6" s="84"/>
      <c r="E6" s="84"/>
      <c r="F6" s="84"/>
      <c r="G6" s="84"/>
      <c r="H6" s="85"/>
      <c r="K6" s="1"/>
    </row>
    <row r="7" spans="1:14" ht="18.75" x14ac:dyDescent="0.3">
      <c r="A7" s="78" t="s">
        <v>30</v>
      </c>
      <c r="B7" s="79"/>
      <c r="C7" s="75">
        <v>46121</v>
      </c>
      <c r="D7" s="76"/>
      <c r="E7" s="76"/>
      <c r="F7" s="76"/>
      <c r="G7" s="76"/>
      <c r="H7" s="77"/>
      <c r="K7" s="1"/>
    </row>
    <row r="8" spans="1:14" ht="20.45" customHeight="1" x14ac:dyDescent="0.3">
      <c r="A8" s="78" t="s">
        <v>27</v>
      </c>
      <c r="B8" s="79"/>
      <c r="C8" s="80" t="s">
        <v>52</v>
      </c>
      <c r="D8" s="76"/>
      <c r="E8" s="76"/>
      <c r="F8" s="76"/>
      <c r="G8" s="76"/>
      <c r="H8" s="77"/>
      <c r="K8" s="1"/>
    </row>
    <row r="9" spans="1:14" s="4" customFormat="1" ht="18.95" customHeight="1" thickBot="1" x14ac:dyDescent="0.35">
      <c r="A9" s="56" t="s">
        <v>8</v>
      </c>
      <c r="B9" s="57"/>
      <c r="C9" s="52" t="s">
        <v>31</v>
      </c>
      <c r="D9" s="52"/>
      <c r="E9" s="52"/>
      <c r="F9" s="52"/>
      <c r="G9" s="52"/>
      <c r="H9" s="53"/>
      <c r="I9" s="1"/>
      <c r="J9" s="1"/>
      <c r="K9" s="4">
        <v>52.13</v>
      </c>
    </row>
    <row r="10" spans="1:14" s="4" customFormat="1" ht="20.45" customHeight="1" x14ac:dyDescent="0.3">
      <c r="A10" s="56" t="s">
        <v>15</v>
      </c>
      <c r="B10" s="57"/>
      <c r="C10" s="52" t="s">
        <v>16</v>
      </c>
      <c r="D10" s="52"/>
      <c r="E10" s="52"/>
      <c r="F10" s="52"/>
      <c r="G10" s="52"/>
      <c r="H10" s="53"/>
      <c r="I10" s="1"/>
      <c r="J10" s="33" t="s">
        <v>13</v>
      </c>
      <c r="K10" s="34" t="s">
        <v>11</v>
      </c>
    </row>
    <row r="11" spans="1:14" s="4" customFormat="1" ht="21" customHeight="1" thickBot="1" x14ac:dyDescent="0.35">
      <c r="A11" s="56" t="s">
        <v>9</v>
      </c>
      <c r="B11" s="57"/>
      <c r="C11" s="52" t="s">
        <v>51</v>
      </c>
      <c r="D11" s="52"/>
      <c r="E11" s="52"/>
      <c r="F11" s="52"/>
      <c r="G11" s="52"/>
      <c r="H11" s="53"/>
      <c r="I11" s="1"/>
      <c r="J11" s="6">
        <v>44.42</v>
      </c>
      <c r="K11" s="7">
        <v>51.531700000000001</v>
      </c>
      <c r="L11" s="1"/>
      <c r="M11" s="1"/>
    </row>
    <row r="12" spans="1:14" s="4" customFormat="1" ht="21" customHeight="1" x14ac:dyDescent="0.3">
      <c r="A12" s="56" t="s">
        <v>17</v>
      </c>
      <c r="B12" s="57"/>
      <c r="C12" s="52" t="s">
        <v>32</v>
      </c>
      <c r="D12" s="52"/>
      <c r="E12" s="52"/>
      <c r="F12" s="52"/>
      <c r="G12" s="52"/>
      <c r="H12" s="53"/>
      <c r="I12" s="1"/>
      <c r="J12" s="1"/>
      <c r="K12" s="1"/>
      <c r="L12" s="1"/>
      <c r="M12" s="1"/>
      <c r="N12" s="1"/>
    </row>
    <row r="13" spans="1:14" s="4" customFormat="1" ht="21" customHeight="1" x14ac:dyDescent="0.3">
      <c r="A13" s="56" t="s">
        <v>10</v>
      </c>
      <c r="B13" s="57"/>
      <c r="C13" s="52"/>
      <c r="D13" s="52"/>
      <c r="E13" s="52"/>
      <c r="F13" s="52"/>
      <c r="G13" s="52"/>
      <c r="H13" s="53"/>
      <c r="I13" s="1"/>
      <c r="J13" s="1"/>
      <c r="K13" s="1"/>
      <c r="L13" s="1"/>
      <c r="M13" s="1"/>
      <c r="N13" s="1"/>
    </row>
    <row r="14" spans="1:14" s="4" customFormat="1" ht="18.95" customHeight="1" thickBot="1" x14ac:dyDescent="0.35">
      <c r="A14" s="54" t="s">
        <v>14</v>
      </c>
      <c r="B14" s="55"/>
      <c r="C14" s="58">
        <v>15</v>
      </c>
      <c r="D14" s="58"/>
      <c r="E14" s="58"/>
      <c r="F14" s="58"/>
      <c r="G14" s="58"/>
      <c r="H14" s="59"/>
      <c r="I14" s="1"/>
      <c r="J14" s="1"/>
      <c r="K14" s="1"/>
      <c r="L14" s="1"/>
      <c r="M14" s="1"/>
    </row>
    <row r="15" spans="1:14" ht="18.600000000000001" customHeight="1" thickBot="1" x14ac:dyDescent="0.35">
      <c r="K15" s="1"/>
    </row>
    <row r="16" spans="1:14" ht="27.6" customHeight="1" x14ac:dyDescent="0.3">
      <c r="A16" s="27" t="s">
        <v>0</v>
      </c>
      <c r="B16" s="28" t="s">
        <v>3</v>
      </c>
      <c r="C16" s="28" t="s">
        <v>22</v>
      </c>
      <c r="D16" s="28" t="s">
        <v>4</v>
      </c>
      <c r="E16" s="28" t="s">
        <v>7</v>
      </c>
      <c r="F16" s="28" t="s">
        <v>28</v>
      </c>
      <c r="G16" s="28" t="s">
        <v>5</v>
      </c>
      <c r="H16" s="28" t="s">
        <v>1</v>
      </c>
      <c r="I16" s="29" t="s">
        <v>21</v>
      </c>
      <c r="J16" s="28" t="s">
        <v>23</v>
      </c>
      <c r="K16" s="28" t="s">
        <v>2</v>
      </c>
      <c r="L16" s="28" t="s">
        <v>6</v>
      </c>
    </row>
    <row r="17" spans="1:12" ht="71.45" customHeight="1" x14ac:dyDescent="0.3">
      <c r="A17" s="14" t="s">
        <v>33</v>
      </c>
      <c r="B17" s="14" t="s">
        <v>33</v>
      </c>
      <c r="C17" s="15" t="s">
        <v>34</v>
      </c>
      <c r="D17" s="14"/>
      <c r="E17" s="17"/>
      <c r="F17" s="17"/>
      <c r="G17" s="17">
        <v>1</v>
      </c>
      <c r="H17" s="17" t="s">
        <v>35</v>
      </c>
      <c r="I17" s="18"/>
      <c r="J17" s="19"/>
      <c r="K17" s="36">
        <v>2000</v>
      </c>
      <c r="L17" s="36">
        <f>G17*$K17</f>
        <v>2000</v>
      </c>
    </row>
    <row r="18" spans="1:12" ht="51.6" customHeight="1" x14ac:dyDescent="0.3">
      <c r="A18" s="14" t="s">
        <v>36</v>
      </c>
      <c r="B18" s="15"/>
      <c r="C18" s="15" t="s">
        <v>37</v>
      </c>
      <c r="D18" s="16"/>
      <c r="E18" s="17"/>
      <c r="F18" s="17"/>
      <c r="G18" s="17">
        <v>1</v>
      </c>
      <c r="H18" s="17" t="s">
        <v>35</v>
      </c>
      <c r="I18" s="39" t="s">
        <v>80</v>
      </c>
      <c r="J18" s="19"/>
      <c r="K18" s="38">
        <v>4000</v>
      </c>
      <c r="L18" s="36">
        <f t="shared" ref="L18:L34" si="0">G18*$K18</f>
        <v>4000</v>
      </c>
    </row>
    <row r="19" spans="1:12" ht="78" customHeight="1" x14ac:dyDescent="0.3">
      <c r="A19" s="14" t="s">
        <v>38</v>
      </c>
      <c r="B19" s="14" t="s">
        <v>39</v>
      </c>
      <c r="C19" s="15" t="s">
        <v>40</v>
      </c>
      <c r="D19" s="16"/>
      <c r="E19" s="17"/>
      <c r="F19" s="17"/>
      <c r="G19" s="17">
        <v>2</v>
      </c>
      <c r="H19" s="17" t="s">
        <v>35</v>
      </c>
      <c r="I19" s="18"/>
      <c r="J19" s="20"/>
      <c r="K19" s="38">
        <v>875</v>
      </c>
      <c r="L19" s="36">
        <f t="shared" si="0"/>
        <v>1750</v>
      </c>
    </row>
    <row r="20" spans="1:12" ht="172.9" customHeight="1" x14ac:dyDescent="0.3">
      <c r="A20" s="14" t="s">
        <v>53</v>
      </c>
      <c r="B20" s="14"/>
      <c r="C20" s="15" t="s">
        <v>55</v>
      </c>
      <c r="D20" s="16"/>
      <c r="E20" s="17"/>
      <c r="F20" s="17"/>
      <c r="G20" s="17">
        <v>1</v>
      </c>
      <c r="H20" s="17" t="s">
        <v>54</v>
      </c>
      <c r="I20" s="18"/>
      <c r="J20" s="20"/>
      <c r="K20" s="38">
        <v>19000</v>
      </c>
      <c r="L20" s="36">
        <f t="shared" si="0"/>
        <v>19000</v>
      </c>
    </row>
    <row r="21" spans="1:12" ht="68.45" customHeight="1" x14ac:dyDescent="0.3">
      <c r="A21" s="14" t="s">
        <v>41</v>
      </c>
      <c r="B21" s="14" t="s">
        <v>42</v>
      </c>
      <c r="C21" s="15" t="s">
        <v>56</v>
      </c>
      <c r="D21" s="16"/>
      <c r="E21" s="17"/>
      <c r="F21" s="17"/>
      <c r="G21" s="17">
        <v>1</v>
      </c>
      <c r="H21" s="17" t="s">
        <v>35</v>
      </c>
      <c r="I21" s="18"/>
      <c r="J21" s="20"/>
      <c r="K21" s="38">
        <v>2230</v>
      </c>
      <c r="L21" s="36">
        <f t="shared" si="0"/>
        <v>2230</v>
      </c>
    </row>
    <row r="22" spans="1:12" ht="145.5" customHeight="1" x14ac:dyDescent="0.3">
      <c r="A22" s="14" t="s">
        <v>43</v>
      </c>
      <c r="B22" s="14" t="s">
        <v>43</v>
      </c>
      <c r="C22" s="15" t="s">
        <v>46</v>
      </c>
      <c r="D22" s="16"/>
      <c r="E22" s="17"/>
      <c r="F22" s="17"/>
      <c r="G22" s="17">
        <v>1</v>
      </c>
      <c r="H22" s="17" t="s">
        <v>44</v>
      </c>
      <c r="I22" s="18" t="s">
        <v>82</v>
      </c>
      <c r="J22" s="20"/>
      <c r="K22" s="38">
        <v>7500</v>
      </c>
      <c r="L22" s="36">
        <f t="shared" si="0"/>
        <v>7500</v>
      </c>
    </row>
    <row r="23" spans="1:12" ht="145.5" customHeight="1" x14ac:dyDescent="0.3">
      <c r="A23" s="14" t="s">
        <v>71</v>
      </c>
      <c r="B23" s="14" t="s">
        <v>72</v>
      </c>
      <c r="C23" s="15"/>
      <c r="D23" s="16"/>
      <c r="E23" s="17"/>
      <c r="F23" s="17"/>
      <c r="G23" s="17">
        <v>1</v>
      </c>
      <c r="H23" s="17" t="s">
        <v>73</v>
      </c>
      <c r="I23" s="18" t="s">
        <v>83</v>
      </c>
      <c r="J23" s="20" t="s">
        <v>74</v>
      </c>
      <c r="K23" s="38">
        <v>4000</v>
      </c>
      <c r="L23" s="38">
        <f>K23*G23</f>
        <v>4000</v>
      </c>
    </row>
    <row r="24" spans="1:12" ht="145.5" customHeight="1" x14ac:dyDescent="0.3">
      <c r="A24" s="14" t="s">
        <v>69</v>
      </c>
      <c r="B24" s="14" t="s">
        <v>70</v>
      </c>
      <c r="C24" s="15"/>
      <c r="D24" s="16"/>
      <c r="E24" s="17"/>
      <c r="F24" s="17"/>
      <c r="G24" s="17">
        <v>1</v>
      </c>
      <c r="H24" s="17" t="s">
        <v>54</v>
      </c>
      <c r="I24" s="18" t="s">
        <v>82</v>
      </c>
      <c r="J24" s="20"/>
      <c r="K24" s="38">
        <v>4500</v>
      </c>
      <c r="L24" s="36">
        <f t="shared" si="0"/>
        <v>4500</v>
      </c>
    </row>
    <row r="25" spans="1:12" ht="66.599999999999994" customHeight="1" x14ac:dyDescent="0.3">
      <c r="A25" s="14" t="s">
        <v>45</v>
      </c>
      <c r="B25" s="15" t="s">
        <v>57</v>
      </c>
      <c r="C25" s="37" t="s">
        <v>58</v>
      </c>
      <c r="D25" s="16"/>
      <c r="E25" s="17"/>
      <c r="F25" s="17"/>
      <c r="G25" s="17">
        <v>1</v>
      </c>
      <c r="H25" s="17" t="s">
        <v>35</v>
      </c>
      <c r="I25" s="18" t="s">
        <v>64</v>
      </c>
      <c r="J25" s="20"/>
      <c r="K25" s="38">
        <v>52000</v>
      </c>
      <c r="L25" s="36">
        <f t="shared" si="0"/>
        <v>52000</v>
      </c>
    </row>
    <row r="26" spans="1:12" ht="66.599999999999994" customHeight="1" x14ac:dyDescent="0.3">
      <c r="A26" s="14" t="s">
        <v>84</v>
      </c>
      <c r="B26" s="15" t="s">
        <v>70</v>
      </c>
      <c r="C26" s="37"/>
      <c r="D26" s="16"/>
      <c r="E26" s="17"/>
      <c r="F26" s="17"/>
      <c r="G26" s="17">
        <v>1</v>
      </c>
      <c r="H26" s="17" t="s">
        <v>54</v>
      </c>
      <c r="I26" s="18"/>
      <c r="J26" s="20"/>
      <c r="K26" s="38">
        <v>15000</v>
      </c>
      <c r="L26" s="36">
        <f t="shared" si="0"/>
        <v>15000</v>
      </c>
    </row>
    <row r="27" spans="1:12" ht="66" customHeight="1" x14ac:dyDescent="0.3">
      <c r="A27" s="14" t="s">
        <v>47</v>
      </c>
      <c r="B27" s="14" t="s">
        <v>47</v>
      </c>
      <c r="C27" s="15" t="s">
        <v>59</v>
      </c>
      <c r="D27" s="16"/>
      <c r="E27" s="17"/>
      <c r="F27" s="17"/>
      <c r="G27" s="17">
        <v>1</v>
      </c>
      <c r="H27" s="17" t="s">
        <v>35</v>
      </c>
      <c r="I27" s="18" t="s">
        <v>65</v>
      </c>
      <c r="J27" s="20"/>
      <c r="K27" s="38">
        <v>6000</v>
      </c>
      <c r="L27" s="36">
        <f t="shared" si="0"/>
        <v>6000</v>
      </c>
    </row>
    <row r="28" spans="1:12" ht="61.15" customHeight="1" x14ac:dyDescent="0.3">
      <c r="A28" s="14" t="s">
        <v>60</v>
      </c>
      <c r="B28" s="14" t="s">
        <v>60</v>
      </c>
      <c r="C28" s="15" t="s">
        <v>61</v>
      </c>
      <c r="D28" s="16"/>
      <c r="E28" s="17"/>
      <c r="F28" s="17"/>
      <c r="G28" s="17">
        <v>2</v>
      </c>
      <c r="H28" s="17" t="s">
        <v>35</v>
      </c>
      <c r="I28" s="18" t="s">
        <v>66</v>
      </c>
      <c r="J28" s="20"/>
      <c r="K28" s="38">
        <v>2000</v>
      </c>
      <c r="L28" s="36">
        <f t="shared" si="0"/>
        <v>4000</v>
      </c>
    </row>
    <row r="29" spans="1:12" ht="59.45" customHeight="1" x14ac:dyDescent="0.3">
      <c r="A29" s="14" t="s">
        <v>78</v>
      </c>
      <c r="B29" s="14"/>
      <c r="C29" s="15" t="s">
        <v>62</v>
      </c>
      <c r="D29" s="16"/>
      <c r="E29" s="17"/>
      <c r="F29" s="17"/>
      <c r="G29" s="17">
        <v>1</v>
      </c>
      <c r="H29" s="17" t="s">
        <v>35</v>
      </c>
      <c r="I29" s="18" t="s">
        <v>79</v>
      </c>
      <c r="J29" s="20"/>
      <c r="K29" s="38">
        <v>9750</v>
      </c>
      <c r="L29" s="36">
        <f t="shared" si="0"/>
        <v>9750</v>
      </c>
    </row>
    <row r="30" spans="1:12" ht="59.45" customHeight="1" x14ac:dyDescent="0.3">
      <c r="A30" s="14" t="s">
        <v>76</v>
      </c>
      <c r="B30" s="14"/>
      <c r="C30" s="15" t="s">
        <v>75</v>
      </c>
      <c r="D30" s="16"/>
      <c r="E30" s="17"/>
      <c r="F30" s="17"/>
      <c r="G30" s="17">
        <v>1</v>
      </c>
      <c r="H30" s="17" t="s">
        <v>35</v>
      </c>
      <c r="I30" s="18" t="s">
        <v>79</v>
      </c>
      <c r="J30" s="20"/>
      <c r="K30" s="38">
        <v>7800</v>
      </c>
      <c r="L30" s="36">
        <f t="shared" si="0"/>
        <v>7800</v>
      </c>
    </row>
    <row r="31" spans="1:12" ht="59.45" customHeight="1" x14ac:dyDescent="0.3">
      <c r="A31" s="14" t="s">
        <v>77</v>
      </c>
      <c r="B31" s="14"/>
      <c r="C31" s="15" t="s">
        <v>70</v>
      </c>
      <c r="D31" s="16"/>
      <c r="E31" s="17"/>
      <c r="F31" s="17"/>
      <c r="G31" s="17">
        <v>1</v>
      </c>
      <c r="H31" s="17" t="s">
        <v>54</v>
      </c>
      <c r="I31" s="18" t="s">
        <v>79</v>
      </c>
      <c r="J31" s="20"/>
      <c r="K31" s="38">
        <v>5000</v>
      </c>
      <c r="L31" s="36">
        <f>K31*G31</f>
        <v>5000</v>
      </c>
    </row>
    <row r="32" spans="1:12" ht="67.900000000000006" customHeight="1" x14ac:dyDescent="0.3">
      <c r="A32" s="14" t="s">
        <v>63</v>
      </c>
      <c r="B32" s="14"/>
      <c r="C32" s="14" t="s">
        <v>63</v>
      </c>
      <c r="D32" s="16"/>
      <c r="E32" s="17"/>
      <c r="F32" s="17"/>
      <c r="G32" s="17">
        <v>1</v>
      </c>
      <c r="H32" s="17" t="s">
        <v>35</v>
      </c>
      <c r="I32" s="18"/>
      <c r="J32" s="20"/>
      <c r="K32" s="38">
        <v>6500</v>
      </c>
      <c r="L32" s="36">
        <f t="shared" si="0"/>
        <v>6500</v>
      </c>
    </row>
    <row r="33" spans="1:12" ht="67.900000000000006" customHeight="1" x14ac:dyDescent="0.3">
      <c r="A33" s="15" t="s">
        <v>48</v>
      </c>
      <c r="B33" s="14"/>
      <c r="C33" s="15" t="s">
        <v>50</v>
      </c>
      <c r="D33" s="16" t="s">
        <v>49</v>
      </c>
      <c r="E33" s="17"/>
      <c r="F33" s="17"/>
      <c r="G33" s="17">
        <v>1</v>
      </c>
      <c r="H33" s="17" t="s">
        <v>35</v>
      </c>
      <c r="I33" s="18" t="s">
        <v>81</v>
      </c>
      <c r="J33" s="20"/>
      <c r="K33" s="38">
        <v>49650</v>
      </c>
      <c r="L33" s="36">
        <f t="shared" ref="L33" si="1">G33*$K33</f>
        <v>49650</v>
      </c>
    </row>
    <row r="34" spans="1:12" ht="61.9" customHeight="1" x14ac:dyDescent="0.3">
      <c r="A34" s="15" t="s">
        <v>67</v>
      </c>
      <c r="B34" s="14"/>
      <c r="C34" s="15"/>
      <c r="D34" s="16" t="s">
        <v>49</v>
      </c>
      <c r="E34" s="17"/>
      <c r="F34" s="17"/>
      <c r="G34" s="17">
        <v>1</v>
      </c>
      <c r="H34" s="17" t="s">
        <v>35</v>
      </c>
      <c r="I34" s="18" t="s">
        <v>68</v>
      </c>
      <c r="J34" s="20"/>
      <c r="K34" s="38">
        <v>2234</v>
      </c>
      <c r="L34" s="36">
        <f t="shared" si="0"/>
        <v>2234</v>
      </c>
    </row>
    <row r="36" spans="1:12" ht="27.6" customHeight="1" thickBot="1" x14ac:dyDescent="0.35">
      <c r="A36" s="8"/>
      <c r="B36" s="9"/>
      <c r="C36" s="8"/>
      <c r="D36" s="10"/>
      <c r="E36" s="10"/>
      <c r="F36" s="10"/>
      <c r="G36" s="10"/>
      <c r="H36" s="11"/>
      <c r="I36" s="9"/>
      <c r="J36" s="12"/>
      <c r="K36" s="13"/>
      <c r="L36" s="13"/>
    </row>
    <row r="37" spans="1:12" ht="27.6" customHeight="1" thickBot="1" x14ac:dyDescent="0.35">
      <c r="A37" s="8"/>
      <c r="B37" s="9"/>
      <c r="C37" s="8"/>
      <c r="D37" s="10"/>
      <c r="E37" s="10"/>
      <c r="F37" s="10"/>
      <c r="G37" s="10"/>
      <c r="H37" s="11"/>
      <c r="I37" s="9"/>
      <c r="J37" s="12"/>
      <c r="K37" s="24" t="s">
        <v>12</v>
      </c>
      <c r="L37" s="25">
        <f>SUM(L17:L34)</f>
        <v>202914</v>
      </c>
    </row>
    <row r="38" spans="1:12" ht="27.6" customHeight="1" thickBot="1" x14ac:dyDescent="0.35">
      <c r="A38" s="8"/>
      <c r="B38" s="9"/>
      <c r="C38" s="8"/>
      <c r="D38" s="10"/>
      <c r="E38" s="10"/>
      <c r="F38" s="10"/>
      <c r="G38" s="10"/>
      <c r="H38" s="11"/>
      <c r="I38" s="9"/>
      <c r="J38" s="12"/>
      <c r="K38" s="24" t="s">
        <v>11</v>
      </c>
      <c r="L38" s="26">
        <f>L37/K9</f>
        <v>3892.4611548052944</v>
      </c>
    </row>
    <row r="39" spans="1:12" ht="20.45" customHeight="1" thickBo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L39" s="2"/>
    </row>
    <row r="40" spans="1:12" ht="17.25" customHeight="1" x14ac:dyDescent="0.3">
      <c r="A40" s="49" t="s">
        <v>18</v>
      </c>
      <c r="B40" s="60"/>
      <c r="C40" s="60"/>
      <c r="D40" s="60"/>
      <c r="E40" s="60"/>
      <c r="F40" s="60"/>
      <c r="G40" s="60"/>
      <c r="H40" s="60"/>
      <c r="I40" s="60"/>
      <c r="J40" s="61"/>
    </row>
    <row r="41" spans="1:12" x14ac:dyDescent="0.3">
      <c r="A41" s="50"/>
      <c r="B41" s="62"/>
      <c r="C41" s="62"/>
      <c r="D41" s="62"/>
      <c r="E41" s="62"/>
      <c r="F41" s="62"/>
      <c r="G41" s="62"/>
      <c r="H41" s="62"/>
      <c r="I41" s="62"/>
      <c r="J41" s="63"/>
    </row>
    <row r="42" spans="1:12" x14ac:dyDescent="0.3">
      <c r="A42" s="50"/>
      <c r="B42" s="62"/>
      <c r="C42" s="62"/>
      <c r="D42" s="62"/>
      <c r="E42" s="62"/>
      <c r="F42" s="62"/>
      <c r="G42" s="62"/>
      <c r="H42" s="62"/>
      <c r="I42" s="62"/>
      <c r="J42" s="63"/>
    </row>
    <row r="43" spans="1:12" ht="51" customHeight="1" x14ac:dyDescent="0.3">
      <c r="A43" s="50"/>
      <c r="B43" s="62"/>
      <c r="C43" s="62"/>
      <c r="D43" s="62"/>
      <c r="E43" s="62"/>
      <c r="F43" s="62"/>
      <c r="G43" s="62"/>
      <c r="H43" s="62"/>
      <c r="I43" s="62"/>
      <c r="J43" s="63"/>
    </row>
    <row r="44" spans="1:12" x14ac:dyDescent="0.3">
      <c r="A44" s="50"/>
      <c r="B44" s="62"/>
      <c r="C44" s="62"/>
      <c r="D44" s="62"/>
      <c r="E44" s="62"/>
      <c r="F44" s="62"/>
      <c r="G44" s="62"/>
      <c r="H44" s="62"/>
      <c r="I44" s="62"/>
      <c r="J44" s="63"/>
    </row>
    <row r="45" spans="1:12" ht="17.25" thickBot="1" x14ac:dyDescent="0.35">
      <c r="A45" s="51"/>
      <c r="B45" s="64"/>
      <c r="C45" s="64"/>
      <c r="D45" s="64"/>
      <c r="E45" s="64"/>
      <c r="F45" s="64"/>
      <c r="G45" s="64"/>
      <c r="H45" s="64"/>
      <c r="I45" s="64"/>
      <c r="J45" s="65"/>
    </row>
    <row r="46" spans="1:12" ht="21" thickBot="1" x14ac:dyDescent="0.35">
      <c r="A46" s="35"/>
    </row>
    <row r="47" spans="1:12" ht="13.9" customHeight="1" x14ac:dyDescent="0.3">
      <c r="A47" s="40" t="s">
        <v>19</v>
      </c>
      <c r="B47" s="43" t="s">
        <v>20</v>
      </c>
      <c r="C47" s="43"/>
      <c r="D47" s="43"/>
      <c r="E47" s="43"/>
      <c r="F47" s="43"/>
      <c r="G47" s="43"/>
      <c r="H47" s="43"/>
      <c r="I47" s="43"/>
      <c r="J47" s="44"/>
    </row>
    <row r="48" spans="1:12" ht="13.9" customHeight="1" x14ac:dyDescent="0.3">
      <c r="A48" s="41"/>
      <c r="B48" s="45"/>
      <c r="C48" s="45"/>
      <c r="D48" s="45"/>
      <c r="E48" s="45"/>
      <c r="F48" s="45"/>
      <c r="G48" s="45"/>
      <c r="H48" s="45"/>
      <c r="I48" s="45"/>
      <c r="J48" s="46"/>
    </row>
    <row r="49" spans="1:10" ht="13.9" customHeight="1" x14ac:dyDescent="0.3">
      <c r="A49" s="41"/>
      <c r="B49" s="45"/>
      <c r="C49" s="45"/>
      <c r="D49" s="45"/>
      <c r="E49" s="45"/>
      <c r="F49" s="45"/>
      <c r="G49" s="45"/>
      <c r="H49" s="45"/>
      <c r="I49" s="45"/>
      <c r="J49" s="46"/>
    </row>
    <row r="50" spans="1:10" ht="13.9" customHeight="1" x14ac:dyDescent="0.3">
      <c r="A50" s="41"/>
      <c r="B50" s="45"/>
      <c r="C50" s="45"/>
      <c r="D50" s="45"/>
      <c r="E50" s="45"/>
      <c r="F50" s="45"/>
      <c r="G50" s="45"/>
      <c r="H50" s="45"/>
      <c r="I50" s="45"/>
      <c r="J50" s="46"/>
    </row>
    <row r="51" spans="1:10" ht="13.9" customHeight="1" x14ac:dyDescent="0.3">
      <c r="A51" s="41"/>
      <c r="B51" s="45"/>
      <c r="C51" s="45"/>
      <c r="D51" s="45"/>
      <c r="E51" s="45"/>
      <c r="F51" s="45"/>
      <c r="G51" s="45"/>
      <c r="H51" s="45"/>
      <c r="I51" s="45"/>
      <c r="J51" s="46"/>
    </row>
    <row r="52" spans="1:10" ht="13.9" customHeight="1" x14ac:dyDescent="0.3">
      <c r="A52" s="41"/>
      <c r="B52" s="45"/>
      <c r="C52" s="45"/>
      <c r="D52" s="45"/>
      <c r="E52" s="45"/>
      <c r="F52" s="45"/>
      <c r="G52" s="45"/>
      <c r="H52" s="45"/>
      <c r="I52" s="45"/>
      <c r="J52" s="46"/>
    </row>
    <row r="53" spans="1:10" ht="13.9" customHeight="1" x14ac:dyDescent="0.3">
      <c r="A53" s="41"/>
      <c r="B53" s="45"/>
      <c r="C53" s="45"/>
      <c r="D53" s="45"/>
      <c r="E53" s="45"/>
      <c r="F53" s="45"/>
      <c r="G53" s="45"/>
      <c r="H53" s="45"/>
      <c r="I53" s="45"/>
      <c r="J53" s="46"/>
    </row>
    <row r="54" spans="1:10" ht="14.45" customHeight="1" x14ac:dyDescent="0.3">
      <c r="A54" s="41"/>
      <c r="B54" s="45"/>
      <c r="C54" s="45"/>
      <c r="D54" s="45"/>
      <c r="E54" s="45"/>
      <c r="F54" s="45"/>
      <c r="G54" s="45"/>
      <c r="H54" s="45"/>
      <c r="I54" s="45"/>
      <c r="J54" s="46"/>
    </row>
    <row r="55" spans="1:10" ht="14.45" customHeight="1" x14ac:dyDescent="0.3">
      <c r="A55" s="41"/>
      <c r="B55" s="45"/>
      <c r="C55" s="45"/>
      <c r="D55" s="45"/>
      <c r="E55" s="45"/>
      <c r="F55" s="45"/>
      <c r="G55" s="45"/>
      <c r="H55" s="45"/>
      <c r="I55" s="45"/>
      <c r="J55" s="46"/>
    </row>
    <row r="56" spans="1:10" ht="14.45" customHeight="1" thickBot="1" x14ac:dyDescent="0.35">
      <c r="A56" s="42"/>
      <c r="B56" s="47"/>
      <c r="C56" s="47"/>
      <c r="D56" s="47"/>
      <c r="E56" s="47"/>
      <c r="F56" s="47"/>
      <c r="G56" s="47"/>
      <c r="H56" s="47"/>
      <c r="I56" s="47"/>
      <c r="J56" s="48"/>
    </row>
  </sheetData>
  <dataConsolidate/>
  <mergeCells count="23">
    <mergeCell ref="C2:K4"/>
    <mergeCell ref="C7:H7"/>
    <mergeCell ref="A7:B7"/>
    <mergeCell ref="A8:B8"/>
    <mergeCell ref="C8:H8"/>
    <mergeCell ref="A6:B6"/>
    <mergeCell ref="C6:H6"/>
    <mergeCell ref="A47:A56"/>
    <mergeCell ref="B47:J56"/>
    <mergeCell ref="A40:A45"/>
    <mergeCell ref="C9:H9"/>
    <mergeCell ref="C11:H11"/>
    <mergeCell ref="A14:B14"/>
    <mergeCell ref="A10:B10"/>
    <mergeCell ref="C12:H12"/>
    <mergeCell ref="C13:H13"/>
    <mergeCell ref="C10:H10"/>
    <mergeCell ref="C14:H14"/>
    <mergeCell ref="B40:J45"/>
    <mergeCell ref="A9:B9"/>
    <mergeCell ref="A11:B11"/>
    <mergeCell ref="A12:B12"/>
    <mergeCell ref="A13:B13"/>
  </mergeCells>
  <dataValidations count="4">
    <dataValidation type="list" allowBlank="1" showInputMessage="1" showErrorMessage="1" sqref="C9:H9" xr:uid="{7985510F-2517-4889-9260-D96A00F43B6A}">
      <formula1>"Retech,SVC"</formula1>
    </dataValidation>
    <dataValidation type="list" allowBlank="1" showInputMessage="1" showErrorMessage="1" sqref="C10:H10" xr:uid="{0A3A13BE-67A0-49AA-B209-E0456FF5A4B5}">
      <formula1>"Yurtiçi,Yurtdışı"</formula1>
    </dataValidation>
    <dataValidation type="custom" allowBlank="1" showInputMessage="1" showErrorMessage="1" sqref="J10:K11" xr:uid="{864835A5-8AE2-4C18-80F2-FB886F7E3052}">
      <formula1>J10(TRUE,FALSE)</formula1>
    </dataValidation>
    <dataValidation type="list" allowBlank="1" showInputMessage="1" showErrorMessage="1" sqref="C8:H8" xr:uid="{F584F331-B676-44B5-82BD-1DD89611CB44}">
      <formula1>"Teklif,Yaklaşık Bedel"</formula1>
    </dataValidation>
  </dataValidations>
  <pageMargins left="0.7" right="0.7" top="0.75" bottom="0.75" header="0.3" footer="0.3"/>
  <pageSetup paperSize="9" scale="3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FIBER KANOPI</vt:lpstr>
      <vt:lpstr>'FIBER KANOPI'!Yazdırma_Alanı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Ertuğral</dc:creator>
  <cp:lastModifiedBy>Osman Ertuğral</cp:lastModifiedBy>
  <cp:lastPrinted>2026-03-30T09:19:49Z</cp:lastPrinted>
  <dcterms:created xsi:type="dcterms:W3CDTF">2026-03-25T06:09:07Z</dcterms:created>
  <dcterms:modified xsi:type="dcterms:W3CDTF">2026-04-08T14:19:12Z</dcterms:modified>
</cp:coreProperties>
</file>