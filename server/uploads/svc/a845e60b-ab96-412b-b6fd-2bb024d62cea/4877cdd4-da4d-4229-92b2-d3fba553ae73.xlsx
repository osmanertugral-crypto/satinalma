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FRİGORİFİK 320L ARAÇ\"/>
    </mc:Choice>
  </mc:AlternateContent>
  <xr:revisionPtr revIDLastSave="0" documentId="13_ncr:1_{A18D8875-47F8-4718-AFE1-F11BBE022DBC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MSB FRİGORİFİK" sheetId="6" r:id="rId1"/>
  </sheets>
  <definedNames>
    <definedName name="_xlnm.Print_Area" localSheetId="0">'MSB FRİGORİFİK'!$A$1:$L$46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6" l="1"/>
  <c r="L27" i="6"/>
  <c r="L24" i="6"/>
  <c r="L19" i="6"/>
  <c r="L18" i="6"/>
  <c r="L21" i="6"/>
  <c r="L22" i="6"/>
  <c r="L23" i="6"/>
  <c r="L25" i="6" l="1"/>
  <c r="L28" i="6" l="1"/>
</calcChain>
</file>

<file path=xl/sharedStrings.xml><?xml version="1.0" encoding="utf-8"?>
<sst xmlns="http://schemas.openxmlformats.org/spreadsheetml/2006/main" count="76" uniqueCount="69">
  <si>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</si>
  <si>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</si>
  <si>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</si>
  <si>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</si>
  <si>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</si>
  <si>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</si>
  <si>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</si>
  <si>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</si>
  <si>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</si>
  <si>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</si>
  <si>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</si>
  <si>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</si>
  <si>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</si>
  <si>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</si>
  <si>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</si>
  <si>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</si>
  <si>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</si>
  <si>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</si>
  <si>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</si>
  <si>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</si>
  <si>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</si>
  <si>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</si>
  <si>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</si>
  <si>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</si>
  <si>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</si>
  <si>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</si>
  <si>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</si>
  <si>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</si>
  <si>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</si>
  <si>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</si>
  <si>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SVC</t>
  </si>
  <si>
    <t>ARAÇ</t>
  </si>
  <si>
    <t>Ürün 
Departmanı Notu</t>
  </si>
  <si>
    <t>Yaklaşık Bedel</t>
  </si>
  <si>
    <t>MSB  / OTOKOÇ</t>
  </si>
  <si>
    <t>FRİGORİFİK +RAF SİSTEMİ</t>
  </si>
  <si>
    <t xml:space="preserve">Ford Transit Custom Van 2+1 320L Trend 2.0L Ecoblue Upgrade 136 PS 6 İleri Beyaz Renk   </t>
  </si>
  <si>
    <t>2 Adet Ledli iç aydınlatma,</t>
  </si>
  <si>
    <t>İç aydınlatma lambaları arka 
kapıların açılması ile otomatik olarak yanıp, kapatınca yine otomatik olarak sönecektir</t>
  </si>
  <si>
    <t>bölmeyi -10 °C sıcaklığa düşürecek kapasitede</t>
  </si>
  <si>
    <t>Termostatlı ve elektronik göstergeli, üflemeli tipte soğutucu monte edilecektir. Araç soğutucunun
gösterge paneli ve termostat ayarı şoför mahallinde bulunacaktır</t>
  </si>
  <si>
    <t>Taban+tavan+
duvarlar+kapılar</t>
  </si>
  <si>
    <t>m2</t>
  </si>
  <si>
    <t>adet</t>
  </si>
  <si>
    <t>Projektör tipli  dış aydınlatma armatürü</t>
  </si>
  <si>
    <t xml:space="preserve">DIŞ AYDINLATMA
</t>
  </si>
  <si>
    <t xml:space="preserve">SOĞUTUCU / KLİMA
</t>
  </si>
  <si>
    <t xml:space="preserve">İÇ AYDINLATMA
</t>
  </si>
  <si>
    <t xml:space="preserve">KAPLAMA
</t>
  </si>
  <si>
    <t>TABAN KAPLAMA</t>
  </si>
  <si>
    <t xml:space="preserve">18 mm su kontrası </t>
  </si>
  <si>
    <t>Yemek taşıma kısmının sağ iç yan, sol iç yan, ara bölme ve tavan yüzeyleri
silinebilir en az 2 m m kalınlıkta CTP malzeme ile kaplanmış olacaktır.</t>
  </si>
  <si>
    <t>2 mm Ctp kaplama</t>
  </si>
  <si>
    <t>RAFLAR</t>
  </si>
  <si>
    <t>30x30 mm paslanmaz kutu profil 1.5 et kalınlığı
6 metrelik boy</t>
  </si>
  <si>
    <r>
      <t>Raflar ve kilit mekanizmasının tamamı krom malzemeden olacaktır. boy ölçüsü 65 cm en ölçüsü 53 cm olan tepsi sığacak, Raflar arası yükseklik 25 cm olacak. kaynak yerleri paslanmaya dayanıklı</t>
    </r>
    <r>
      <rPr>
        <b/>
        <sz val="13"/>
        <color rgb="FFFF0000"/>
        <rFont val="Century Gothic"/>
        <family val="2"/>
        <charset val="162"/>
      </rPr>
      <t xml:space="preserve"> krom kaynağından</t>
    </r>
    <r>
      <rPr>
        <sz val="13"/>
        <color theme="1"/>
        <rFont val="Century Gothic"/>
        <family val="2"/>
        <charset val="162"/>
      </rPr>
      <t xml:space="preserve"> yapılacak. Kullanılacak profillerin uçları plastik kapak ile kapatılacak.</t>
    </r>
  </si>
  <si>
    <t>Profil Uç Tapası 30x30 Kare Profil Tapası</t>
  </si>
  <si>
    <t xml:space="preserve">İZOLASYON
</t>
  </si>
  <si>
    <t>plaka</t>
  </si>
  <si>
    <t xml:space="preserve">40 mm poliüretan </t>
  </si>
  <si>
    <t>Plastik Ürün</t>
  </si>
  <si>
    <t>3 Gün</t>
  </si>
  <si>
    <t>https://www.pttavm.com/wolfram-led-bar-beyaz-isik-amber-isik-7-fonksiyon-cakarli-19-cm-12-24v-e-belgeli-32w-p-1160225628</t>
  </si>
  <si>
    <t>İZOLASYON İLE BİRLİKTE VERİLMİŞTİR.</t>
  </si>
  <si>
    <t>Kayın Su kontrası  1.70x2.20   3000TL
Huş Su Kontrası 1.25x2.50   3500TL</t>
  </si>
  <si>
    <t>10 Gün</t>
  </si>
  <si>
    <t>40mm  XPS Kaplama Dahil 2mm Ctp m2 27 Euro + KDv</t>
  </si>
  <si>
    <t>Set</t>
  </si>
  <si>
    <t xml:space="preserve">Kenarları Açık Raf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</si>
</sst>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3"/>
      <color rgb="FFFF0000"/>
      <name val="Century Gothic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22"/>
      <color theme="1"/>
      <name val="Century Gothic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44" fontId="7" fillId="3" borderId="1" xfId="2" applyFont="1" applyFill="1" applyBorder="1" applyAlignment="1">
      <alignment horizontal="center" vertical="center"/>
    </xf>
    <xf numFmtId="0" fontId="13" fillId="3" borderId="1" xfId="3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165" fontId="14" fillId="0" borderId="0" xfId="0" applyNumberFormat="1" applyFont="1"/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</cellXfs>
  <cellStyles count="4">
    <cellStyle name="Köprü" xfId="3" builtinId="8"/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3076524</xdr:colOff>
      <xdr:row>1</xdr:row>
      <xdr:rowOff>92909</xdr:rowOff>
    </xdr:from>
    <xdr:to>
      <xdr:col>8</xdr:col>
      <xdr:colOff>762816</xdr:colOff>
      <xdr:row>3</xdr:row>
      <xdr:rowOff>425417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4631215" y="245309"/>
          <a:ext cx="4959928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ttavm.com/wolfram-led-bar-beyaz-isik-amber-isik-7-fonksiyon-cakarli-19-cm-12-24v-e-belgeli-32w-p-11602256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46"/>
  <sheetViews>
    <sheetView tabSelected="1" topLeftCell="C22" zoomScale="55" zoomScaleNormal="55" workbookViewId="0">
      <selection activeCell="N30" sqref="N30"/>
    </sheetView>
  </sheetViews>
  <sheetFormatPr defaultColWidth="9.109375" defaultRowHeight="13.8" x14ac:dyDescent="0.25"/>
  <cols>
    <col min="1" max="1" width="25" style="1" customWidth="1"/>
    <col min="2" max="2" width="49" style="1" customWidth="1"/>
    <col min="3" max="3" width="61.33203125" style="1" customWidth="1"/>
    <col min="4" max="4" width="31.88671875" style="1" customWidth="1"/>
    <col min="5" max="5" width="38.6640625" style="1" customWidth="1"/>
    <col min="6" max="6" width="21.5546875" style="1" customWidth="1"/>
    <col min="7" max="7" width="17.33203125" style="1" customWidth="1"/>
    <col min="8" max="8" width="13.88671875" style="1" customWidth="1"/>
    <col min="9" max="9" width="71.88671875" style="1" customWidth="1"/>
    <col min="10" max="10" width="23.109375" style="1" customWidth="1"/>
    <col min="11" max="11" width="20.6640625" style="3" customWidth="1"/>
    <col min="12" max="12" width="26.44140625" style="1" customWidth="1"/>
    <col min="13" max="13" width="9.109375" style="1"/>
    <col min="14" max="14" width="27.88671875" style="1" bestFit="1" customWidth="1"/>
    <col min="15" max="16384" width="9.109375" style="1"/>
  </cols>
  <sheetData>
    <row r="1" spans="1:14" ht="12" customHeight="1" thickBot="1" x14ac:dyDescent="0.3"/>
    <row r="2" spans="1:14" ht="42.6" customHeight="1" x14ac:dyDescent="0.25">
      <c r="A2" s="15"/>
      <c r="B2" s="24" t="s">
        <v>24</v>
      </c>
      <c r="C2" s="75"/>
      <c r="D2" s="76"/>
      <c r="E2" s="76"/>
      <c r="F2" s="76"/>
      <c r="G2" s="76"/>
      <c r="H2" s="76"/>
      <c r="I2" s="76"/>
      <c r="J2" s="76"/>
      <c r="K2" s="77"/>
    </row>
    <row r="3" spans="1:14" ht="41.4" customHeight="1" x14ac:dyDescent="0.25">
      <c r="A3" s="16"/>
      <c r="B3" s="25" t="s">
        <v>26</v>
      </c>
      <c r="C3" s="78"/>
      <c r="D3" s="79"/>
      <c r="E3" s="79"/>
      <c r="F3" s="79"/>
      <c r="G3" s="79"/>
      <c r="H3" s="79"/>
      <c r="I3" s="79"/>
      <c r="J3" s="79"/>
      <c r="K3" s="80"/>
    </row>
    <row r="4" spans="1:14" ht="41.4" customHeight="1" thickBot="1" x14ac:dyDescent="0.3">
      <c r="A4" s="17"/>
      <c r="B4" s="26" t="s">
        <v>25</v>
      </c>
      <c r="C4" s="81"/>
      <c r="D4" s="82"/>
      <c r="E4" s="82"/>
      <c r="F4" s="82"/>
      <c r="G4" s="82"/>
      <c r="H4" s="82"/>
      <c r="I4" s="82"/>
      <c r="J4" s="82"/>
      <c r="K4" s="83"/>
    </row>
    <row r="5" spans="1:14" ht="33" customHeight="1" thickBot="1" x14ac:dyDescent="0.3">
      <c r="C5" s="5"/>
      <c r="K5" s="1"/>
    </row>
    <row r="6" spans="1:14" ht="17.399999999999999" x14ac:dyDescent="0.3">
      <c r="A6" s="85" t="s">
        <v>28</v>
      </c>
      <c r="B6" s="86"/>
      <c r="C6" s="87">
        <v>46139</v>
      </c>
      <c r="D6" s="88"/>
      <c r="E6" s="88"/>
      <c r="F6" s="88"/>
      <c r="G6" s="88"/>
      <c r="H6" s="89"/>
      <c r="K6" s="1"/>
    </row>
    <row r="7" spans="1:14" ht="17.399999999999999" x14ac:dyDescent="0.3">
      <c r="A7" s="70" t="s">
        <v>29</v>
      </c>
      <c r="B7" s="71"/>
      <c r="C7" s="84">
        <v>46142</v>
      </c>
      <c r="D7" s="73"/>
      <c r="E7" s="73"/>
      <c r="F7" s="73"/>
      <c r="G7" s="73"/>
      <c r="H7" s="74"/>
      <c r="K7" s="1"/>
    </row>
    <row r="8" spans="1:14" ht="20.399999999999999" customHeight="1" x14ac:dyDescent="0.3">
      <c r="A8" s="70" t="s">
        <v>27</v>
      </c>
      <c r="B8" s="71"/>
      <c r="C8" s="72" t="s">
        <v>33</v>
      </c>
      <c r="D8" s="73"/>
      <c r="E8" s="73"/>
      <c r="F8" s="73"/>
      <c r="G8" s="73"/>
      <c r="H8" s="74"/>
      <c r="K8" s="1"/>
    </row>
    <row r="9" spans="1:14" s="4" customFormat="1" ht="18.899999999999999" customHeight="1" thickBot="1" x14ac:dyDescent="0.35">
      <c r="A9" s="66" t="s">
        <v>8</v>
      </c>
      <c r="B9" s="67"/>
      <c r="C9" s="62" t="s">
        <v>30</v>
      </c>
      <c r="D9" s="62"/>
      <c r="E9" s="62"/>
      <c r="F9" s="62"/>
      <c r="G9" s="62"/>
      <c r="H9" s="63"/>
      <c r="I9" s="1"/>
      <c r="J9" s="1"/>
    </row>
    <row r="10" spans="1:14" s="4" customFormat="1" ht="20.399999999999999" customHeight="1" x14ac:dyDescent="0.3">
      <c r="A10" s="66" t="s">
        <v>15</v>
      </c>
      <c r="B10" s="67"/>
      <c r="C10" s="62" t="s">
        <v>16</v>
      </c>
      <c r="D10" s="62"/>
      <c r="E10" s="62"/>
      <c r="F10" s="62"/>
      <c r="G10" s="62"/>
      <c r="H10" s="63"/>
      <c r="I10" s="1"/>
      <c r="J10" s="27" t="s">
        <v>13</v>
      </c>
      <c r="K10" s="28" t="s">
        <v>11</v>
      </c>
      <c r="L10" s="4">
        <v>52.942399999999999</v>
      </c>
    </row>
    <row r="11" spans="1:14" s="4" customFormat="1" ht="21" customHeight="1" thickBot="1" x14ac:dyDescent="0.35">
      <c r="A11" s="66" t="s">
        <v>9</v>
      </c>
      <c r="B11" s="67"/>
      <c r="C11" s="62" t="s">
        <v>35</v>
      </c>
      <c r="D11" s="62"/>
      <c r="E11" s="62"/>
      <c r="F11" s="62"/>
      <c r="G11" s="62"/>
      <c r="H11" s="63"/>
      <c r="I11" s="1"/>
      <c r="J11" s="6">
        <v>44.42</v>
      </c>
      <c r="K11" s="7">
        <v>51.531700000000001</v>
      </c>
      <c r="L11" s="1">
        <v>45.087699999999998</v>
      </c>
      <c r="M11" s="1"/>
    </row>
    <row r="12" spans="1:14" s="4" customFormat="1" ht="21" customHeight="1" x14ac:dyDescent="0.3">
      <c r="A12" s="70" t="s">
        <v>31</v>
      </c>
      <c r="B12" s="71"/>
      <c r="C12" s="72" t="s">
        <v>36</v>
      </c>
      <c r="D12" s="73"/>
      <c r="E12" s="73"/>
      <c r="F12" s="73"/>
      <c r="G12" s="73"/>
      <c r="H12" s="74"/>
      <c r="I12" s="1"/>
      <c r="J12" s="30"/>
      <c r="K12" s="30"/>
      <c r="L12" s="1"/>
      <c r="M12" s="1"/>
    </row>
    <row r="13" spans="1:14" s="4" customFormat="1" ht="21" customHeight="1" x14ac:dyDescent="0.3">
      <c r="A13" s="66" t="s">
        <v>17</v>
      </c>
      <c r="B13" s="67"/>
      <c r="C13" s="62" t="s">
        <v>34</v>
      </c>
      <c r="D13" s="62"/>
      <c r="E13" s="62"/>
      <c r="F13" s="62"/>
      <c r="G13" s="62"/>
      <c r="H13" s="63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66" t="s">
        <v>10</v>
      </c>
      <c r="B14" s="67"/>
      <c r="C14" s="62"/>
      <c r="D14" s="62"/>
      <c r="E14" s="62"/>
      <c r="F14" s="62"/>
      <c r="G14" s="62"/>
      <c r="H14" s="63"/>
      <c r="I14" s="1"/>
      <c r="J14" s="1"/>
      <c r="K14" s="1"/>
      <c r="L14" s="1"/>
      <c r="M14" s="1"/>
      <c r="N14" s="1"/>
    </row>
    <row r="15" spans="1:14" s="4" customFormat="1" ht="18.899999999999999" customHeight="1" thickBot="1" x14ac:dyDescent="0.35">
      <c r="A15" s="64" t="s">
        <v>14</v>
      </c>
      <c r="B15" s="65"/>
      <c r="C15" s="68">
        <v>1</v>
      </c>
      <c r="D15" s="68"/>
      <c r="E15" s="68"/>
      <c r="F15" s="68"/>
      <c r="G15" s="68"/>
      <c r="H15" s="69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4" ht="58.2" customHeight="1" x14ac:dyDescent="0.3">
      <c r="A17" s="21" t="s">
        <v>0</v>
      </c>
      <c r="B17" s="22" t="s">
        <v>3</v>
      </c>
      <c r="C17" s="22" t="s">
        <v>22</v>
      </c>
      <c r="D17" s="22" t="s">
        <v>4</v>
      </c>
      <c r="E17" s="22" t="s">
        <v>7</v>
      </c>
      <c r="F17" s="33" t="s">
        <v>32</v>
      </c>
      <c r="G17" s="22" t="s">
        <v>5</v>
      </c>
      <c r="H17" s="22" t="s">
        <v>1</v>
      </c>
      <c r="I17" s="23" t="s">
        <v>21</v>
      </c>
      <c r="J17" s="22" t="s">
        <v>23</v>
      </c>
      <c r="K17" s="22" t="s">
        <v>2</v>
      </c>
      <c r="L17" s="22" t="s">
        <v>6</v>
      </c>
    </row>
    <row r="18" spans="1:14" ht="91.95" customHeight="1" x14ac:dyDescent="0.25">
      <c r="A18" s="31" t="s">
        <v>57</v>
      </c>
      <c r="B18" s="31" t="s">
        <v>41</v>
      </c>
      <c r="C18" s="31" t="s">
        <v>59</v>
      </c>
      <c r="D18" s="11"/>
      <c r="E18" s="12"/>
      <c r="F18" s="12"/>
      <c r="G18" s="12">
        <v>21</v>
      </c>
      <c r="H18" s="12" t="s">
        <v>42</v>
      </c>
      <c r="I18" s="13" t="s">
        <v>66</v>
      </c>
      <c r="J18" s="13" t="s">
        <v>65</v>
      </c>
      <c r="K18" s="14">
        <v>38</v>
      </c>
      <c r="L18" s="32">
        <f>K18*L10*G18</f>
        <v>42248.035199999998</v>
      </c>
    </row>
    <row r="19" spans="1:14" ht="54.6" customHeight="1" x14ac:dyDescent="0.25">
      <c r="A19" s="31" t="s">
        <v>49</v>
      </c>
      <c r="B19" s="31" t="s">
        <v>50</v>
      </c>
      <c r="C19" s="31"/>
      <c r="D19" s="11"/>
      <c r="E19" s="12"/>
      <c r="F19" s="12"/>
      <c r="G19" s="12">
        <v>2</v>
      </c>
      <c r="H19" s="12" t="s">
        <v>58</v>
      </c>
      <c r="I19" s="13" t="s">
        <v>64</v>
      </c>
      <c r="J19" s="13" t="s">
        <v>61</v>
      </c>
      <c r="K19" s="39">
        <v>3000</v>
      </c>
      <c r="L19" s="32">
        <f>K19*G19</f>
        <v>6000</v>
      </c>
    </row>
    <row r="20" spans="1:14" ht="103.2" customHeight="1" x14ac:dyDescent="0.25">
      <c r="A20" s="41" t="s">
        <v>48</v>
      </c>
      <c r="B20" s="41" t="s">
        <v>52</v>
      </c>
      <c r="C20" s="41" t="s">
        <v>51</v>
      </c>
      <c r="D20" s="41"/>
      <c r="E20" s="41"/>
      <c r="F20" s="41"/>
      <c r="G20" s="42">
        <v>21</v>
      </c>
      <c r="H20" s="42" t="s">
        <v>42</v>
      </c>
      <c r="I20" s="13" t="s">
        <v>63</v>
      </c>
      <c r="J20" s="13"/>
      <c r="K20" s="13"/>
      <c r="L20" s="13"/>
    </row>
    <row r="21" spans="1:14" ht="48.6" x14ac:dyDescent="0.25">
      <c r="A21" s="31" t="s">
        <v>47</v>
      </c>
      <c r="B21" s="31" t="s">
        <v>37</v>
      </c>
      <c r="C21" s="31" t="s">
        <v>38</v>
      </c>
      <c r="D21" s="11"/>
      <c r="E21" s="42"/>
      <c r="F21" s="42"/>
      <c r="G21" s="42">
        <v>2</v>
      </c>
      <c r="H21" s="42" t="s">
        <v>43</v>
      </c>
      <c r="I21" s="13"/>
      <c r="J21" s="13"/>
      <c r="K21" s="39">
        <v>750</v>
      </c>
      <c r="L21" s="32">
        <f>K21*G21</f>
        <v>1500</v>
      </c>
    </row>
    <row r="22" spans="1:14" ht="38.4" customHeight="1" x14ac:dyDescent="0.25">
      <c r="A22" s="31" t="s">
        <v>45</v>
      </c>
      <c r="B22" s="31" t="s">
        <v>44</v>
      </c>
      <c r="C22" s="31"/>
      <c r="D22" s="11"/>
      <c r="E22" s="42"/>
      <c r="F22" s="42"/>
      <c r="G22" s="42">
        <v>1</v>
      </c>
      <c r="H22" s="42" t="s">
        <v>43</v>
      </c>
      <c r="I22" s="40" t="s">
        <v>62</v>
      </c>
      <c r="J22" s="13"/>
      <c r="K22" s="39">
        <v>1200</v>
      </c>
      <c r="L22" s="32">
        <f>K22*G22</f>
        <v>1200</v>
      </c>
    </row>
    <row r="23" spans="1:14" ht="90" customHeight="1" x14ac:dyDescent="0.25">
      <c r="A23" s="31" t="s">
        <v>46</v>
      </c>
      <c r="B23" s="31" t="s">
        <v>39</v>
      </c>
      <c r="C23" s="31" t="s">
        <v>40</v>
      </c>
      <c r="D23" s="11"/>
      <c r="E23" s="42"/>
      <c r="F23" s="42"/>
      <c r="G23" s="42">
        <v>1</v>
      </c>
      <c r="H23" s="42" t="s">
        <v>43</v>
      </c>
      <c r="I23" s="13"/>
      <c r="J23" s="13"/>
      <c r="K23" s="39">
        <v>105000</v>
      </c>
      <c r="L23" s="32">
        <f>K23*G23</f>
        <v>105000</v>
      </c>
    </row>
    <row r="24" spans="1:14" ht="147" customHeight="1" x14ac:dyDescent="0.25">
      <c r="A24" s="31" t="s">
        <v>53</v>
      </c>
      <c r="B24" s="31" t="s">
        <v>54</v>
      </c>
      <c r="C24" s="31" t="s">
        <v>55</v>
      </c>
      <c r="D24" s="11"/>
      <c r="E24" s="42"/>
      <c r="F24" s="42"/>
      <c r="G24" s="42">
        <v>1</v>
      </c>
      <c r="H24" s="42" t="s">
        <v>67</v>
      </c>
      <c r="I24" s="13" t="s">
        <v>68</v>
      </c>
      <c r="J24" s="13"/>
      <c r="K24" s="39">
        <v>6500</v>
      </c>
      <c r="L24" s="32">
        <f>K24*G24</f>
        <v>6500</v>
      </c>
    </row>
    <row r="25" spans="1:14" ht="90" customHeight="1" x14ac:dyDescent="0.25">
      <c r="A25" s="31" t="s">
        <v>53</v>
      </c>
      <c r="B25" s="31" t="s">
        <v>56</v>
      </c>
      <c r="C25" s="31"/>
      <c r="D25" s="11"/>
      <c r="E25" s="42"/>
      <c r="F25" s="42"/>
      <c r="G25" s="42">
        <v>20</v>
      </c>
      <c r="H25" s="42" t="s">
        <v>43</v>
      </c>
      <c r="I25" s="13" t="s">
        <v>60</v>
      </c>
      <c r="J25" s="13" t="s">
        <v>61</v>
      </c>
      <c r="K25" s="39">
        <v>10</v>
      </c>
      <c r="L25" s="32">
        <f>K25*G25</f>
        <v>200</v>
      </c>
    </row>
    <row r="26" spans="1:14" ht="16.8" thickBot="1" x14ac:dyDescent="0.3">
      <c r="A26" s="34"/>
      <c r="B26" s="34"/>
      <c r="C26" s="34"/>
      <c r="D26" s="35"/>
      <c r="E26" s="35"/>
      <c r="F26" s="35"/>
      <c r="G26" s="35"/>
      <c r="H26" s="35"/>
      <c r="I26" s="8"/>
      <c r="J26" s="9"/>
      <c r="K26" s="10"/>
      <c r="L26" s="10"/>
    </row>
    <row r="27" spans="1:14" ht="37.200000000000003" customHeight="1" thickBot="1" x14ac:dyDescent="0.5">
      <c r="A27" s="34"/>
      <c r="B27" s="34"/>
      <c r="C27" s="34"/>
      <c r="D27" s="35"/>
      <c r="E27" s="35"/>
      <c r="F27" s="35"/>
      <c r="G27" s="35"/>
      <c r="H27" s="35"/>
      <c r="I27" s="36"/>
      <c r="J27" s="9"/>
      <c r="K27" s="18" t="s">
        <v>12</v>
      </c>
      <c r="L27" s="19">
        <f>SUM(L18:L25)</f>
        <v>162648.03519999998</v>
      </c>
      <c r="N27" s="43">
        <f>L27*2.5</f>
        <v>406620.08799999999</v>
      </c>
    </row>
    <row r="28" spans="1:14" ht="27.6" customHeight="1" thickBot="1" x14ac:dyDescent="0.3">
      <c r="A28" s="37"/>
      <c r="B28" s="36"/>
      <c r="C28" s="37"/>
      <c r="D28" s="35"/>
      <c r="E28" s="35"/>
      <c r="F28" s="35"/>
      <c r="G28" s="35"/>
      <c r="H28" s="38"/>
      <c r="I28" s="36"/>
      <c r="J28" s="9"/>
      <c r="K28" s="18" t="s">
        <v>11</v>
      </c>
      <c r="L28" s="20">
        <f>L27/K11</f>
        <v>3156.271483378192</v>
      </c>
    </row>
    <row r="29" spans="1:14" ht="20.399999999999999" customHeight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N29" s="1">
        <v>390000</v>
      </c>
    </row>
    <row r="30" spans="1:14" ht="17.25" customHeight="1" x14ac:dyDescent="0.25">
      <c r="A30" s="53" t="s">
        <v>18</v>
      </c>
      <c r="B30" s="56"/>
      <c r="C30" s="56"/>
      <c r="D30" s="56"/>
      <c r="E30" s="56"/>
      <c r="F30" s="56"/>
      <c r="G30" s="56"/>
      <c r="H30" s="56"/>
      <c r="I30" s="56"/>
      <c r="J30" s="57"/>
    </row>
    <row r="31" spans="1:14" x14ac:dyDescent="0.25">
      <c r="A31" s="54"/>
      <c r="B31" s="58"/>
      <c r="C31" s="58"/>
      <c r="D31" s="58"/>
      <c r="E31" s="58"/>
      <c r="F31" s="58"/>
      <c r="G31" s="58"/>
      <c r="H31" s="58"/>
      <c r="I31" s="58"/>
      <c r="J31" s="59"/>
    </row>
    <row r="32" spans="1:14" x14ac:dyDescent="0.25">
      <c r="A32" s="54"/>
      <c r="B32" s="58"/>
      <c r="C32" s="58"/>
      <c r="D32" s="58"/>
      <c r="E32" s="58"/>
      <c r="F32" s="58"/>
      <c r="G32" s="58"/>
      <c r="H32" s="58"/>
      <c r="I32" s="58"/>
      <c r="J32" s="59"/>
    </row>
    <row r="33" spans="1:10" ht="51" customHeight="1" x14ac:dyDescent="0.25">
      <c r="A33" s="54"/>
      <c r="B33" s="58"/>
      <c r="C33" s="58"/>
      <c r="D33" s="58"/>
      <c r="E33" s="58"/>
      <c r="F33" s="58"/>
      <c r="G33" s="58"/>
      <c r="H33" s="58"/>
      <c r="I33" s="58"/>
      <c r="J33" s="59"/>
    </row>
    <row r="34" spans="1:10" x14ac:dyDescent="0.25">
      <c r="A34" s="54"/>
      <c r="B34" s="58"/>
      <c r="C34" s="58"/>
      <c r="D34" s="58"/>
      <c r="E34" s="58"/>
      <c r="F34" s="58"/>
      <c r="G34" s="58"/>
      <c r="H34" s="58"/>
      <c r="I34" s="58"/>
      <c r="J34" s="59"/>
    </row>
    <row r="35" spans="1:10" ht="14.4" thickBot="1" x14ac:dyDescent="0.3">
      <c r="A35" s="55"/>
      <c r="B35" s="60"/>
      <c r="C35" s="60"/>
      <c r="D35" s="60"/>
      <c r="E35" s="60"/>
      <c r="F35" s="60"/>
      <c r="G35" s="60"/>
      <c r="H35" s="60"/>
      <c r="I35" s="60"/>
      <c r="J35" s="61"/>
    </row>
    <row r="36" spans="1:10" ht="21.6" thickBot="1" x14ac:dyDescent="0.4">
      <c r="A36" s="29"/>
    </row>
    <row r="37" spans="1:10" ht="13.95" customHeight="1" x14ac:dyDescent="0.25">
      <c r="A37" s="44" t="s">
        <v>19</v>
      </c>
      <c r="B37" s="47" t="s">
        <v>20</v>
      </c>
      <c r="C37" s="47"/>
      <c r="D37" s="47"/>
      <c r="E37" s="47"/>
      <c r="F37" s="47"/>
      <c r="G37" s="47"/>
      <c r="H37" s="47"/>
      <c r="I37" s="47"/>
      <c r="J37" s="48"/>
    </row>
    <row r="38" spans="1:10" ht="13.95" customHeight="1" x14ac:dyDescent="0.25">
      <c r="A38" s="45"/>
      <c r="B38" s="49"/>
      <c r="C38" s="49"/>
      <c r="D38" s="49"/>
      <c r="E38" s="49"/>
      <c r="F38" s="49"/>
      <c r="G38" s="49"/>
      <c r="H38" s="49"/>
      <c r="I38" s="49"/>
      <c r="J38" s="50"/>
    </row>
    <row r="39" spans="1:10" ht="13.95" customHeight="1" x14ac:dyDescent="0.25">
      <c r="A39" s="45"/>
      <c r="B39" s="49"/>
      <c r="C39" s="49"/>
      <c r="D39" s="49"/>
      <c r="E39" s="49"/>
      <c r="F39" s="49"/>
      <c r="G39" s="49"/>
      <c r="H39" s="49"/>
      <c r="I39" s="49"/>
      <c r="J39" s="50"/>
    </row>
    <row r="40" spans="1:10" ht="13.95" customHeight="1" x14ac:dyDescent="0.25">
      <c r="A40" s="45"/>
      <c r="B40" s="49"/>
      <c r="C40" s="49"/>
      <c r="D40" s="49"/>
      <c r="E40" s="49"/>
      <c r="F40" s="49"/>
      <c r="G40" s="49"/>
      <c r="H40" s="49"/>
      <c r="I40" s="49"/>
      <c r="J40" s="50"/>
    </row>
    <row r="41" spans="1:10" ht="13.95" customHeight="1" x14ac:dyDescent="0.25">
      <c r="A41" s="45"/>
      <c r="B41" s="49"/>
      <c r="C41" s="49"/>
      <c r="D41" s="49"/>
      <c r="E41" s="49"/>
      <c r="F41" s="49"/>
      <c r="G41" s="49"/>
      <c r="H41" s="49"/>
      <c r="I41" s="49"/>
      <c r="J41" s="50"/>
    </row>
    <row r="42" spans="1:10" ht="13.95" customHeight="1" x14ac:dyDescent="0.25">
      <c r="A42" s="45"/>
      <c r="B42" s="49"/>
      <c r="C42" s="49"/>
      <c r="D42" s="49"/>
      <c r="E42" s="49"/>
      <c r="F42" s="49"/>
      <c r="G42" s="49"/>
      <c r="H42" s="49"/>
      <c r="I42" s="49"/>
      <c r="J42" s="50"/>
    </row>
    <row r="43" spans="1:10" ht="13.95" customHeight="1" x14ac:dyDescent="0.25">
      <c r="A43" s="45"/>
      <c r="B43" s="49"/>
      <c r="C43" s="49"/>
      <c r="D43" s="49"/>
      <c r="E43" s="49"/>
      <c r="F43" s="49"/>
      <c r="G43" s="49"/>
      <c r="H43" s="49"/>
      <c r="I43" s="49"/>
      <c r="J43" s="50"/>
    </row>
    <row r="44" spans="1:10" ht="14.4" customHeight="1" x14ac:dyDescent="0.25">
      <c r="A44" s="45"/>
      <c r="B44" s="49"/>
      <c r="C44" s="49"/>
      <c r="D44" s="49"/>
      <c r="E44" s="49"/>
      <c r="F44" s="49"/>
      <c r="G44" s="49"/>
      <c r="H44" s="49"/>
      <c r="I44" s="49"/>
      <c r="J44" s="50"/>
    </row>
    <row r="45" spans="1:10" ht="14.4" customHeight="1" x14ac:dyDescent="0.25">
      <c r="A45" s="45"/>
      <c r="B45" s="49"/>
      <c r="C45" s="49"/>
      <c r="D45" s="49"/>
      <c r="E45" s="49"/>
      <c r="F45" s="49"/>
      <c r="G45" s="49"/>
      <c r="H45" s="49"/>
      <c r="I45" s="49"/>
      <c r="J45" s="50"/>
    </row>
    <row r="46" spans="1:10" ht="14.4" customHeight="1" thickBot="1" x14ac:dyDescent="0.3">
      <c r="A46" s="46"/>
      <c r="B46" s="51"/>
      <c r="C46" s="51"/>
      <c r="D46" s="51"/>
      <c r="E46" s="51"/>
      <c r="F46" s="51"/>
      <c r="G46" s="51"/>
      <c r="H46" s="51"/>
      <c r="I46" s="51"/>
      <c r="J46" s="52"/>
    </row>
  </sheetData>
  <dataConsolidate/>
  <mergeCells count="25">
    <mergeCell ref="A12:B12"/>
    <mergeCell ref="C12:H12"/>
    <mergeCell ref="C2:K4"/>
    <mergeCell ref="C7:H7"/>
    <mergeCell ref="A7:B7"/>
    <mergeCell ref="A8:B8"/>
    <mergeCell ref="C8:H8"/>
    <mergeCell ref="A6:B6"/>
    <mergeCell ref="C6:H6"/>
    <mergeCell ref="A37:A46"/>
    <mergeCell ref="B37:J46"/>
    <mergeCell ref="A30:A35"/>
    <mergeCell ref="B30:J35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</mergeCells>
  <dataValidations disablePrompts="1"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hyperlinks>
    <hyperlink ref="I22" r:id="rId1" xr:uid="{FBE148CB-4A47-4172-9393-021A5CCD9DA1}"/>
  </hyperlinks>
  <pageMargins left="0.7" right="0.7" top="0.75" bottom="0.75" header="0.3" footer="0.3"/>
  <pageSetup paperSize="9" scale="32" orientation="landscape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MSB FRİGORİFİK</vt:lpstr>
      <vt:lpstr>'MSB FRİGORİFİK'!Yazdırma_Alanı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2026-04-30T15:08:52Z</dcterms:modified>
</cp:coreProperties>
</file>