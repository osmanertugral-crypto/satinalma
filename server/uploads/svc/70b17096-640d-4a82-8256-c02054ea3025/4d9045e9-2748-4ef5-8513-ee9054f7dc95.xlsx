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2-SVC MALİYET DOSYALARI\YİÇİ\3 TABUTLUKLU\MALİYETLENDİRME\"/>
    </mc:Choice>
  </mc:AlternateContent>
  <xr:revisionPtr revIDLastSave="0" documentId="13_ncr:1_{27C7F4D6-BC75-4AE8-9A1B-31626078673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liyetlendirme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1" i="5" l="1"/>
  <c r="H11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13" i="5"/>
  <c r="H60" i="5" l="1"/>
</calcChain>
</file>

<file path=xl/sharedStrings.xml><?xml version="1.0" encoding="utf-8"?>
<sst xmlns="http://schemas.openxmlformats.org/spreadsheetml/2006/main" count="71" uniqueCount="70">
  <si>
    <t>KURUM</t>
  </si>
  <si>
    <t>ÜSTYAPI</t>
  </si>
  <si>
    <t>RENK</t>
  </si>
  <si>
    <t>TOPLAM</t>
  </si>
  <si>
    <t>ARAÇ MODELİ</t>
  </si>
  <si>
    <t>İHTİYAÇLAR</t>
  </si>
  <si>
    <t>TARİH -ADET</t>
  </si>
  <si>
    <t>TANIM</t>
  </si>
  <si>
    <t>ARAÇ BAŞI MİKTAR</t>
  </si>
  <si>
    <t>ÖLÇÜ</t>
  </si>
  <si>
    <t>FİYAT DOVİZ 
KDV HARİÇ</t>
  </si>
  <si>
    <t>TL KDV HARİÇ</t>
  </si>
  <si>
    <t>AÇIKLAMA</t>
  </si>
  <si>
    <t>Afet Acil Durum Haberleşme Aracı</t>
  </si>
  <si>
    <t>Belirsiz</t>
  </si>
  <si>
    <t>Belli değil</t>
  </si>
  <si>
    <t>Canze Aracı</t>
  </si>
  <si>
    <t>ARAÇ İÇİ KONSTRÜKSİYON</t>
  </si>
  <si>
    <t>KONVEYÖR 600 MM</t>
  </si>
  <si>
    <t>M8X15-TAM DİŞ-PASLANMAZ CİVATA</t>
  </si>
  <si>
    <t>ZEMİN BAGLANTI-M10 TİJ - L:220 MM</t>
  </si>
  <si>
    <t>M10 PASLANMAZ KÖR SOMUN</t>
  </si>
  <si>
    <t>M10 PUL PASLANMAZ</t>
  </si>
  <si>
    <t>M10 FİBERLİ GALVANİZ SOMUN</t>
  </si>
  <si>
    <t>PASLANMAZ ŞASE PULU</t>
  </si>
  <si>
    <t>BAĞLAMA KAYIŞI KEMERLİ - L:1000 MM</t>
  </si>
  <si>
    <t>BAĞLAMA KAYIŞI - L:1000 MM</t>
  </si>
  <si>
    <t>M4.2X25 MM MERCİMEK BAŞLI PASLANMAZ VİDA</t>
  </si>
  <si>
    <t>M4 PUL PASLANMAZ</t>
  </si>
  <si>
    <t xml:space="preserve">Sanel aydınlatma </t>
  </si>
  <si>
    <t>Klima</t>
  </si>
  <si>
    <t>Dış aydınlatma (ayak ve vidaları mevcut)</t>
  </si>
  <si>
    <t>Turbo fan (vidarı ile mevcut)</t>
  </si>
  <si>
    <t xml:space="preserve">tekli anahtar </t>
  </si>
  <si>
    <t>Bıçak sigorta yuvası</t>
  </si>
  <si>
    <t xml:space="preserve">10 A bıçak sigorta </t>
  </si>
  <si>
    <t xml:space="preserve">Kablo ucu terminal </t>
  </si>
  <si>
    <t xml:space="preserve">Terminal kılıfı </t>
  </si>
  <si>
    <t>1 mm mavi kablo</t>
  </si>
  <si>
    <t>1 mm kahverengi kablo</t>
  </si>
  <si>
    <t>1 mm turuncu kablo</t>
  </si>
  <si>
    <t>1 mm mor kablo</t>
  </si>
  <si>
    <t>Tekli anahtar etiketi</t>
  </si>
  <si>
    <t>3.5x16 vida Sanel aydınlatma sabitlemek için</t>
  </si>
  <si>
    <t>3.5x13 vida Bıçak sigorta kutusunu sabitlemek için</t>
  </si>
  <si>
    <t>1250x2500x12 mm su kontrası</t>
  </si>
  <si>
    <t>1220x2440x12 mm falaçata</t>
  </si>
  <si>
    <t>1200x2000x30 mm köpük levha</t>
  </si>
  <si>
    <t>Şişmeyen köpük</t>
  </si>
  <si>
    <t>Elestomerik izolasyon rulo</t>
  </si>
  <si>
    <t>Metal L çektirme</t>
  </si>
  <si>
    <t xml:space="preserve">3.5x16 vida </t>
  </si>
  <si>
    <t>3.5x16 Akıllı vida</t>
  </si>
  <si>
    <t>3,5x35 vida</t>
  </si>
  <si>
    <t>3.5x35 Akıllı vida</t>
  </si>
  <si>
    <t xml:space="preserve">KONSTRÜKSİYON </t>
  </si>
  <si>
    <t>ELEKTRİK</t>
  </si>
  <si>
    <t>İÇ YALITIM</t>
  </si>
  <si>
    <t>NP 1 sosis silikon</t>
  </si>
  <si>
    <t>Sotaj silikon</t>
  </si>
  <si>
    <t>3.5x50 vida</t>
  </si>
  <si>
    <t>3.5x35 vida</t>
  </si>
  <si>
    <t>3.5x35 akıllı vida</t>
  </si>
  <si>
    <t>3.5x25 vida</t>
  </si>
  <si>
    <t>Vida kapak beyaz</t>
  </si>
  <si>
    <t>Perde ( vidaları mevcut)</t>
  </si>
  <si>
    <t>DUVAR KAPLAMA</t>
  </si>
  <si>
    <t>FİYAT TL
KDV HARİÇ</t>
  </si>
  <si>
    <t>PVC levha 2,8mm</t>
  </si>
  <si>
    <t>Malzeme Fiyatı paslanmaz Profil 
6 boy krom 40x40x2mm  metre 8 dolar =36m*288 Dolar
+ Sac plaka bağlantılar Mevcut Fiyat alınması gerekir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</si>
</sst>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  <font>
      <b/>
      <sz val="11"/>
      <color rgb="FF00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37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44" fontId="3" fillId="0" borderId="3" xfId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3" xfId="0" applyBorder="1"/>
    <xf numFmtId="44" fontId="3" fillId="5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4" fontId="3" fillId="0" borderId="3" xfId="1" applyFont="1" applyBorder="1" applyAlignment="1">
      <alignment vertical="center" wrapText="1"/>
    </xf>
    <xf numFmtId="44" fontId="0" fillId="0" borderId="3" xfId="1" applyFont="1" applyBorder="1"/>
    <xf numFmtId="0" fontId="4" fillId="3" borderId="9" xfId="0" applyFont="1" applyFill="1" applyBorder="1" applyAlignment="1">
      <alignment horizontal="center" vertical="center" wrapText="1"/>
    </xf>
    <xf numFmtId="44" fontId="5" fillId="5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 textRotation="90"/>
    </xf>
    <xf numFmtId="44" fontId="0" fillId="0" borderId="0" xfId="1" applyFont="1" applyBorder="1"/>
    <xf numFmtId="0" fontId="0" fillId="6" borderId="6" xfId="0" applyFill="1" applyBorder="1"/>
    <xf numFmtId="0" fontId="0" fillId="6" borderId="6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164" fontId="3" fillId="6" borderId="3" xfId="1" applyNumberFormat="1" applyFont="1" applyFill="1" applyBorder="1" applyAlignment="1">
      <alignment vertical="center" wrapText="1"/>
    </xf>
    <xf numFmtId="44" fontId="3" fillId="6" borderId="3" xfId="1" applyFont="1" applyFill="1" applyBorder="1" applyAlignment="1">
      <alignment horizontal="center" vertical="center" wrapText="1"/>
    </xf>
    <xf numFmtId="44" fontId="3" fillId="6" borderId="6" xfId="1" applyFont="1" applyFill="1" applyBorder="1" applyAlignment="1">
      <alignment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4" fontId="4" fillId="3" borderId="5" xfId="1" applyFont="1" applyFill="1" applyBorder="1" applyAlignment="1">
      <alignment horizontal="center" vertical="center" wrapText="1"/>
    </xf>
    <xf numFmtId="44" fontId="4" fillId="3" borderId="4" xfId="1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66B7E1D-A5FE-4202-B3CB-85042E77FB28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9FA0-78F3-478D-B150-01469BD8AB26}">
  <sheetPr>
    <pageSetUpPr fitToPage="1"/>
  </sheetPr>
  <dimension ref="A1:H60"/>
  <sheetViews>
    <sheetView tabSelected="1" zoomScale="85" zoomScaleNormal="85" workbookViewId="0">
      <pane xSplit="2" topLeftCell="C1" activePane="topRight" state="frozen"/>
      <selection pane="topRight" activeCell="C18" sqref="C18"/>
    </sheetView>
  </sheetViews>
  <sheetFormatPr defaultRowHeight="14.4" x14ac:dyDescent="0.3"/>
  <cols>
    <col min="1" max="1" width="7.5546875" customWidth="1"/>
    <col min="2" max="2" width="47.6640625" customWidth="1"/>
    <col min="3" max="3" width="50.33203125" customWidth="1"/>
    <col min="4" max="4" width="11.6640625" style="13" customWidth="1"/>
    <col min="5" max="5" width="11.88671875" customWidth="1"/>
    <col min="6" max="7" width="15.109375" customWidth="1"/>
    <col min="8" max="8" width="22.109375" customWidth="1"/>
  </cols>
  <sheetData>
    <row r="1" spans="1:8" ht="15" thickBot="1" x14ac:dyDescent="0.35">
      <c r="D1" s="13">
        <v>44.429099999999998</v>
      </c>
      <c r="E1">
        <v>51.330800000000004</v>
      </c>
    </row>
    <row r="2" spans="1:8" ht="45.75" customHeight="1" thickBot="1" x14ac:dyDescent="0.35">
      <c r="B2" s="4" t="s">
        <v>4</v>
      </c>
      <c r="C2" s="29" t="s">
        <v>15</v>
      </c>
      <c r="D2" s="30"/>
      <c r="E2" s="30"/>
      <c r="F2" s="30"/>
      <c r="G2" s="30"/>
      <c r="H2" s="31"/>
    </row>
    <row r="3" spans="1:8" ht="30.75" customHeight="1" thickBot="1" x14ac:dyDescent="0.35">
      <c r="B3" s="6" t="s">
        <v>1</v>
      </c>
      <c r="C3" s="32" t="s">
        <v>13</v>
      </c>
      <c r="D3" s="33"/>
      <c r="E3" s="33"/>
      <c r="F3" s="33"/>
      <c r="G3" s="33"/>
      <c r="H3" s="34"/>
    </row>
    <row r="4" spans="1:8" ht="15" thickBot="1" x14ac:dyDescent="0.35">
      <c r="B4" s="6" t="s">
        <v>0</v>
      </c>
      <c r="C4" s="32"/>
      <c r="D4" s="33"/>
      <c r="E4" s="33"/>
      <c r="F4" s="33"/>
      <c r="G4" s="33"/>
      <c r="H4" s="34"/>
    </row>
    <row r="5" spans="1:8" ht="15" thickBot="1" x14ac:dyDescent="0.35">
      <c r="B5" s="6" t="s">
        <v>2</v>
      </c>
      <c r="C5" s="29" t="s">
        <v>14</v>
      </c>
      <c r="D5" s="30"/>
      <c r="E5" s="30"/>
      <c r="F5" s="30"/>
      <c r="G5" s="30"/>
      <c r="H5" s="31"/>
    </row>
    <row r="6" spans="1:8" ht="15" thickBot="1" x14ac:dyDescent="0.35">
      <c r="B6" s="6" t="s">
        <v>6</v>
      </c>
      <c r="C6" s="29">
        <v>1</v>
      </c>
      <c r="D6" s="30"/>
      <c r="E6" s="30"/>
      <c r="F6" s="30"/>
      <c r="G6" s="30"/>
      <c r="H6" s="31"/>
    </row>
    <row r="7" spans="1:8" ht="43.2" customHeight="1" thickBot="1" x14ac:dyDescent="0.35">
      <c r="B7" s="6" t="s">
        <v>12</v>
      </c>
      <c r="C7" s="29" t="s">
        <v>16</v>
      </c>
      <c r="D7" s="30"/>
      <c r="E7" s="30"/>
      <c r="F7" s="30"/>
      <c r="G7" s="30"/>
      <c r="H7" s="31"/>
    </row>
    <row r="8" spans="1:8" ht="15" thickBot="1" x14ac:dyDescent="0.35">
      <c r="B8" s="6" t="s">
        <v>3</v>
      </c>
      <c r="C8" s="29" t="s">
        <v>14</v>
      </c>
      <c r="D8" s="30"/>
      <c r="E8" s="30"/>
      <c r="F8" s="30"/>
      <c r="G8" s="30"/>
      <c r="H8" s="31"/>
    </row>
    <row r="9" spans="1:8" ht="7.95" customHeight="1" thickBot="1" x14ac:dyDescent="0.35">
      <c r="B9" s="35"/>
      <c r="C9" s="35"/>
      <c r="D9" s="35"/>
      <c r="E9" s="35"/>
      <c r="F9" s="35"/>
      <c r="G9" s="35"/>
      <c r="H9" s="36"/>
    </row>
    <row r="10" spans="1:8" ht="45.75" customHeight="1" thickBot="1" x14ac:dyDescent="0.35">
      <c r="B10" s="4" t="s">
        <v>5</v>
      </c>
      <c r="C10" s="10" t="s">
        <v>7</v>
      </c>
      <c r="D10" s="16" t="s">
        <v>8</v>
      </c>
      <c r="E10" s="5" t="s">
        <v>9</v>
      </c>
      <c r="F10" s="5" t="s">
        <v>10</v>
      </c>
      <c r="G10" s="5" t="s">
        <v>67</v>
      </c>
      <c r="H10" s="5" t="s">
        <v>11</v>
      </c>
    </row>
    <row r="11" spans="1:8" ht="15" customHeight="1" x14ac:dyDescent="0.3">
      <c r="A11" s="28" t="s">
        <v>55</v>
      </c>
      <c r="B11" s="20" t="s">
        <v>17</v>
      </c>
      <c r="C11" s="21"/>
      <c r="D11" s="22">
        <v>1</v>
      </c>
      <c r="E11" s="23"/>
      <c r="F11" s="24">
        <v>2500</v>
      </c>
      <c r="G11" s="25">
        <f>F11*D1</f>
        <v>111072.75</v>
      </c>
      <c r="H11" s="26">
        <f>G11</f>
        <v>111072.75</v>
      </c>
    </row>
    <row r="12" spans="1:8" ht="50.25" customHeight="1" x14ac:dyDescent="0.3">
      <c r="A12" s="28"/>
      <c r="B12" s="20"/>
      <c r="C12" s="27" t="s">
        <v>69</v>
      </c>
      <c r="D12" s="22"/>
      <c r="E12" s="23"/>
      <c r="F12" s="24"/>
      <c r="G12" s="25"/>
      <c r="H12" s="26"/>
    </row>
    <row r="13" spans="1:8" ht="15" customHeight="1" x14ac:dyDescent="0.3">
      <c r="A13" s="28"/>
      <c r="B13" s="11" t="s">
        <v>18</v>
      </c>
      <c r="C13" s="7"/>
      <c r="D13" s="7">
        <v>33</v>
      </c>
      <c r="E13" s="1"/>
      <c r="F13" s="14"/>
      <c r="G13" s="14">
        <v>600</v>
      </c>
      <c r="H13" s="12">
        <f>G13*D13</f>
        <v>19800</v>
      </c>
    </row>
    <row r="14" spans="1:8" ht="15" customHeight="1" x14ac:dyDescent="0.3">
      <c r="A14" s="28"/>
      <c r="B14" s="11" t="s">
        <v>19</v>
      </c>
      <c r="C14" s="7"/>
      <c r="D14" s="7">
        <v>66</v>
      </c>
      <c r="E14" s="1"/>
      <c r="F14" s="14"/>
      <c r="G14" s="14">
        <v>3.2</v>
      </c>
      <c r="H14" s="12">
        <f t="shared" ref="H14:H58" si="0">G14*D14</f>
        <v>211.20000000000002</v>
      </c>
    </row>
    <row r="15" spans="1:8" ht="15" customHeight="1" x14ac:dyDescent="0.3">
      <c r="A15" s="28"/>
      <c r="B15" s="11" t="s">
        <v>20</v>
      </c>
      <c r="C15" s="7"/>
      <c r="D15" s="7">
        <v>12</v>
      </c>
      <c r="E15" s="2"/>
      <c r="F15" s="14"/>
      <c r="G15" s="3">
        <v>16</v>
      </c>
      <c r="H15" s="12">
        <f t="shared" si="0"/>
        <v>192</v>
      </c>
    </row>
    <row r="16" spans="1:8" ht="15" customHeight="1" x14ac:dyDescent="0.3">
      <c r="A16" s="28"/>
      <c r="B16" s="11" t="s">
        <v>21</v>
      </c>
      <c r="C16" s="7"/>
      <c r="D16" s="7">
        <v>12</v>
      </c>
      <c r="E16" s="2"/>
      <c r="F16" s="14"/>
      <c r="G16" s="3">
        <v>6</v>
      </c>
      <c r="H16" s="12">
        <f t="shared" si="0"/>
        <v>72</v>
      </c>
    </row>
    <row r="17" spans="1:8" ht="15" customHeight="1" x14ac:dyDescent="0.3">
      <c r="A17" s="28"/>
      <c r="B17" s="11" t="s">
        <v>22</v>
      </c>
      <c r="C17" s="7"/>
      <c r="D17" s="7">
        <v>12</v>
      </c>
      <c r="E17" s="2"/>
      <c r="F17" s="14"/>
      <c r="G17" s="3">
        <v>1.5</v>
      </c>
      <c r="H17" s="12">
        <f t="shared" si="0"/>
        <v>18</v>
      </c>
    </row>
    <row r="18" spans="1:8" ht="15" customHeight="1" x14ac:dyDescent="0.3">
      <c r="A18" s="28"/>
      <c r="B18" s="11" t="s">
        <v>23</v>
      </c>
      <c r="C18" s="7"/>
      <c r="D18" s="7">
        <v>12</v>
      </c>
      <c r="E18" s="2"/>
      <c r="F18" s="14"/>
      <c r="G18" s="3">
        <v>2</v>
      </c>
      <c r="H18" s="12">
        <f t="shared" si="0"/>
        <v>24</v>
      </c>
    </row>
    <row r="19" spans="1:8" ht="15" customHeight="1" x14ac:dyDescent="0.3">
      <c r="A19" s="28"/>
      <c r="B19" s="11" t="s">
        <v>24</v>
      </c>
      <c r="C19" s="7"/>
      <c r="D19" s="7">
        <v>12</v>
      </c>
      <c r="E19" s="2"/>
      <c r="F19" s="14"/>
      <c r="G19" s="3">
        <v>2.9</v>
      </c>
      <c r="H19" s="12">
        <f t="shared" si="0"/>
        <v>34.799999999999997</v>
      </c>
    </row>
    <row r="20" spans="1:8" ht="15" customHeight="1" x14ac:dyDescent="0.3">
      <c r="A20" s="28"/>
      <c r="B20" s="11" t="s">
        <v>25</v>
      </c>
      <c r="C20" s="7"/>
      <c r="D20" s="7">
        <v>8</v>
      </c>
      <c r="E20" s="3"/>
      <c r="F20" s="14"/>
      <c r="G20" s="3">
        <v>40</v>
      </c>
      <c r="H20" s="12">
        <f t="shared" si="0"/>
        <v>320</v>
      </c>
    </row>
    <row r="21" spans="1:8" ht="15" customHeight="1" x14ac:dyDescent="0.3">
      <c r="A21" s="28"/>
      <c r="B21" s="11" t="s">
        <v>26</v>
      </c>
      <c r="C21" s="7"/>
      <c r="D21" s="7">
        <v>16</v>
      </c>
      <c r="E21" s="3"/>
      <c r="F21" s="3"/>
      <c r="G21" s="3">
        <v>40</v>
      </c>
      <c r="H21" s="12">
        <f t="shared" si="0"/>
        <v>640</v>
      </c>
    </row>
    <row r="22" spans="1:8" ht="15" customHeight="1" x14ac:dyDescent="0.3">
      <c r="A22" s="28"/>
      <c r="B22" s="11" t="s">
        <v>27</v>
      </c>
      <c r="C22" s="8"/>
      <c r="D22" s="7">
        <v>16</v>
      </c>
      <c r="E22" s="2"/>
      <c r="F22" s="3"/>
      <c r="G22" s="3">
        <v>1.5</v>
      </c>
      <c r="H22" s="12">
        <f t="shared" si="0"/>
        <v>24</v>
      </c>
    </row>
    <row r="23" spans="1:8" ht="15" customHeight="1" x14ac:dyDescent="0.3">
      <c r="A23" s="28"/>
      <c r="B23" s="11" t="s">
        <v>28</v>
      </c>
      <c r="C23" s="8"/>
      <c r="D23" s="7">
        <v>16</v>
      </c>
      <c r="E23" s="2"/>
      <c r="F23" s="3"/>
      <c r="G23" s="3">
        <v>0.6</v>
      </c>
      <c r="H23" s="12">
        <f t="shared" si="0"/>
        <v>9.6</v>
      </c>
    </row>
    <row r="24" spans="1:8" ht="15" customHeight="1" x14ac:dyDescent="0.3">
      <c r="A24" s="28" t="s">
        <v>56</v>
      </c>
      <c r="B24" s="11" t="s">
        <v>29</v>
      </c>
      <c r="C24" s="8"/>
      <c r="D24" s="7">
        <v>2</v>
      </c>
      <c r="E24" s="2"/>
      <c r="F24" s="3"/>
      <c r="G24" s="3">
        <v>1750</v>
      </c>
      <c r="H24" s="12">
        <f t="shared" si="0"/>
        <v>3500</v>
      </c>
    </row>
    <row r="25" spans="1:8" ht="15" customHeight="1" x14ac:dyDescent="0.3">
      <c r="A25" s="28"/>
      <c r="B25" s="11" t="s">
        <v>30</v>
      </c>
      <c r="C25" s="8"/>
      <c r="D25" s="7">
        <v>1</v>
      </c>
      <c r="E25" s="2"/>
      <c r="F25" s="3"/>
      <c r="G25" s="3">
        <v>95000</v>
      </c>
      <c r="H25" s="12">
        <f t="shared" si="0"/>
        <v>95000</v>
      </c>
    </row>
    <row r="26" spans="1:8" ht="15" customHeight="1" x14ac:dyDescent="0.3">
      <c r="A26" s="28"/>
      <c r="B26" s="11" t="s">
        <v>31</v>
      </c>
      <c r="C26" s="8"/>
      <c r="D26" s="7">
        <v>1</v>
      </c>
      <c r="E26" s="2"/>
      <c r="F26" s="3"/>
      <c r="G26" s="3">
        <v>800</v>
      </c>
      <c r="H26" s="12">
        <f t="shared" si="0"/>
        <v>800</v>
      </c>
    </row>
    <row r="27" spans="1:8" ht="15" customHeight="1" x14ac:dyDescent="0.3">
      <c r="A27" s="28"/>
      <c r="B27" s="11" t="s">
        <v>32</v>
      </c>
      <c r="C27" s="8"/>
      <c r="D27" s="7">
        <v>1</v>
      </c>
      <c r="E27" s="2"/>
      <c r="F27" s="3"/>
      <c r="G27" s="3">
        <v>2250</v>
      </c>
      <c r="H27" s="12">
        <f t="shared" si="0"/>
        <v>2250</v>
      </c>
    </row>
    <row r="28" spans="1:8" ht="15" customHeight="1" x14ac:dyDescent="0.3">
      <c r="A28" s="28"/>
      <c r="B28" s="11" t="s">
        <v>33</v>
      </c>
      <c r="C28" s="8"/>
      <c r="D28" s="7">
        <v>3</v>
      </c>
      <c r="E28" s="2"/>
      <c r="F28" s="3"/>
      <c r="G28" s="3">
        <v>150</v>
      </c>
      <c r="H28" s="12">
        <f t="shared" si="0"/>
        <v>450</v>
      </c>
    </row>
    <row r="29" spans="1:8" ht="15" customHeight="1" x14ac:dyDescent="0.3">
      <c r="A29" s="28"/>
      <c r="B29" s="11" t="s">
        <v>34</v>
      </c>
      <c r="C29" s="8"/>
      <c r="D29" s="7">
        <v>1</v>
      </c>
      <c r="E29" s="2"/>
      <c r="F29" s="3"/>
      <c r="G29" s="3">
        <v>10</v>
      </c>
      <c r="H29" s="12">
        <f t="shared" si="0"/>
        <v>10</v>
      </c>
    </row>
    <row r="30" spans="1:8" ht="15" customHeight="1" x14ac:dyDescent="0.3">
      <c r="A30" s="28"/>
      <c r="B30" s="11" t="s">
        <v>35</v>
      </c>
      <c r="C30" s="8"/>
      <c r="D30" s="7">
        <v>1</v>
      </c>
      <c r="E30" s="2"/>
      <c r="F30" s="3"/>
      <c r="G30" s="3">
        <v>1.2</v>
      </c>
      <c r="H30" s="12">
        <f t="shared" si="0"/>
        <v>1.2</v>
      </c>
    </row>
    <row r="31" spans="1:8" ht="15" customHeight="1" x14ac:dyDescent="0.3">
      <c r="A31" s="28"/>
      <c r="B31" s="11" t="s">
        <v>36</v>
      </c>
      <c r="C31" s="8"/>
      <c r="D31" s="7">
        <v>2</v>
      </c>
      <c r="E31" s="2"/>
      <c r="F31" s="3"/>
      <c r="G31" s="3">
        <v>2.5</v>
      </c>
      <c r="H31" s="12">
        <f t="shared" si="0"/>
        <v>5</v>
      </c>
    </row>
    <row r="32" spans="1:8" ht="15" customHeight="1" x14ac:dyDescent="0.3">
      <c r="A32" s="28"/>
      <c r="B32" s="11" t="s">
        <v>37</v>
      </c>
      <c r="C32" s="8"/>
      <c r="D32" s="7">
        <v>2</v>
      </c>
      <c r="E32" s="2"/>
      <c r="F32" s="3"/>
      <c r="G32" s="3">
        <v>2.5</v>
      </c>
      <c r="H32" s="12">
        <f t="shared" si="0"/>
        <v>5</v>
      </c>
    </row>
    <row r="33" spans="1:8" ht="15" customHeight="1" x14ac:dyDescent="0.3">
      <c r="A33" s="28"/>
      <c r="B33" s="11" t="s">
        <v>38</v>
      </c>
      <c r="C33" s="8"/>
      <c r="D33" s="7">
        <v>5</v>
      </c>
      <c r="E33" s="2"/>
      <c r="F33" s="3"/>
      <c r="G33" s="3">
        <v>8</v>
      </c>
      <c r="H33" s="12">
        <f t="shared" si="0"/>
        <v>40</v>
      </c>
    </row>
    <row r="34" spans="1:8" ht="15" customHeight="1" x14ac:dyDescent="0.3">
      <c r="A34" s="28"/>
      <c r="B34" s="11" t="s">
        <v>39</v>
      </c>
      <c r="C34" s="9"/>
      <c r="D34" s="7">
        <v>15</v>
      </c>
      <c r="E34" s="11"/>
      <c r="F34" s="15"/>
      <c r="G34" s="15">
        <v>9</v>
      </c>
      <c r="H34" s="12">
        <f t="shared" si="0"/>
        <v>135</v>
      </c>
    </row>
    <row r="35" spans="1:8" ht="15" customHeight="1" x14ac:dyDescent="0.3">
      <c r="A35" s="28"/>
      <c r="B35" s="11" t="s">
        <v>40</v>
      </c>
      <c r="C35" s="11"/>
      <c r="D35" s="7">
        <v>8</v>
      </c>
      <c r="E35" s="11"/>
      <c r="F35" s="15"/>
      <c r="G35" s="15">
        <v>8</v>
      </c>
      <c r="H35" s="12">
        <f t="shared" si="0"/>
        <v>64</v>
      </c>
    </row>
    <row r="36" spans="1:8" ht="15" customHeight="1" x14ac:dyDescent="0.3">
      <c r="A36" s="28"/>
      <c r="B36" s="11" t="s">
        <v>41</v>
      </c>
      <c r="C36" s="11"/>
      <c r="D36" s="7">
        <v>8</v>
      </c>
      <c r="E36" s="11"/>
      <c r="F36" s="15"/>
      <c r="G36" s="15">
        <v>8</v>
      </c>
      <c r="H36" s="12">
        <f t="shared" si="0"/>
        <v>64</v>
      </c>
    </row>
    <row r="37" spans="1:8" ht="15" customHeight="1" x14ac:dyDescent="0.3">
      <c r="A37" s="28"/>
      <c r="B37" s="11" t="s">
        <v>42</v>
      </c>
      <c r="C37" s="11"/>
      <c r="D37" s="7">
        <v>1</v>
      </c>
      <c r="E37" s="11"/>
      <c r="F37" s="15"/>
      <c r="G37" s="15">
        <v>65</v>
      </c>
      <c r="H37" s="12">
        <f t="shared" si="0"/>
        <v>65</v>
      </c>
    </row>
    <row r="38" spans="1:8" ht="15" customHeight="1" x14ac:dyDescent="0.3">
      <c r="A38" s="28"/>
      <c r="B38" s="11" t="s">
        <v>43</v>
      </c>
      <c r="C38" s="11"/>
      <c r="D38" s="7">
        <v>4</v>
      </c>
      <c r="E38" s="11"/>
      <c r="F38" s="15"/>
      <c r="G38" s="15">
        <v>0.25</v>
      </c>
      <c r="H38" s="12">
        <f t="shared" si="0"/>
        <v>1</v>
      </c>
    </row>
    <row r="39" spans="1:8" ht="15" customHeight="1" x14ac:dyDescent="0.3">
      <c r="A39" s="28"/>
      <c r="B39" s="11" t="s">
        <v>44</v>
      </c>
      <c r="C39" s="11"/>
      <c r="D39" s="7">
        <v>1</v>
      </c>
      <c r="E39" s="11"/>
      <c r="F39" s="15"/>
      <c r="G39" s="15">
        <v>0.25</v>
      </c>
      <c r="H39" s="12">
        <f t="shared" si="0"/>
        <v>0.25</v>
      </c>
    </row>
    <row r="40" spans="1:8" ht="15" customHeight="1" x14ac:dyDescent="0.3">
      <c r="A40" s="28" t="s">
        <v>57</v>
      </c>
      <c r="B40" s="11" t="s">
        <v>45</v>
      </c>
      <c r="C40" s="11"/>
      <c r="D40" s="7">
        <v>2</v>
      </c>
      <c r="E40" s="11"/>
      <c r="F40" s="15"/>
      <c r="G40" s="15">
        <v>2900</v>
      </c>
      <c r="H40" s="12">
        <f t="shared" si="0"/>
        <v>5800</v>
      </c>
    </row>
    <row r="41" spans="1:8" ht="15" customHeight="1" x14ac:dyDescent="0.3">
      <c r="A41" s="28"/>
      <c r="B41" s="11" t="s">
        <v>46</v>
      </c>
      <c r="C41" s="11"/>
      <c r="D41" s="7">
        <v>1</v>
      </c>
      <c r="E41" s="11"/>
      <c r="F41" s="15"/>
      <c r="G41" s="15">
        <v>1450</v>
      </c>
      <c r="H41" s="12">
        <f t="shared" si="0"/>
        <v>1450</v>
      </c>
    </row>
    <row r="42" spans="1:8" ht="15" customHeight="1" x14ac:dyDescent="0.3">
      <c r="A42" s="28"/>
      <c r="B42" s="11" t="s">
        <v>47</v>
      </c>
      <c r="C42" s="11"/>
      <c r="D42" s="7">
        <v>8</v>
      </c>
      <c r="E42" s="11"/>
      <c r="F42" s="15"/>
      <c r="G42" s="15">
        <v>1200</v>
      </c>
      <c r="H42" s="12">
        <f t="shared" si="0"/>
        <v>9600</v>
      </c>
    </row>
    <row r="43" spans="1:8" ht="15" customHeight="1" x14ac:dyDescent="0.3">
      <c r="A43" s="28"/>
      <c r="B43" s="11" t="s">
        <v>48</v>
      </c>
      <c r="C43" s="11"/>
      <c r="D43" s="7">
        <v>2</v>
      </c>
      <c r="E43" s="11"/>
      <c r="F43" s="15"/>
      <c r="G43" s="15">
        <v>450</v>
      </c>
      <c r="H43" s="12">
        <f t="shared" si="0"/>
        <v>900</v>
      </c>
    </row>
    <row r="44" spans="1:8" ht="15" customHeight="1" x14ac:dyDescent="0.3">
      <c r="A44" s="28"/>
      <c r="B44" s="11" t="s">
        <v>49</v>
      </c>
      <c r="C44" s="11"/>
      <c r="D44" s="7">
        <v>10</v>
      </c>
      <c r="E44" s="11"/>
      <c r="F44" s="15"/>
      <c r="G44" s="15">
        <v>170</v>
      </c>
      <c r="H44" s="12">
        <f t="shared" si="0"/>
        <v>1700</v>
      </c>
    </row>
    <row r="45" spans="1:8" ht="15" customHeight="1" x14ac:dyDescent="0.3">
      <c r="A45" s="28"/>
      <c r="B45" s="11" t="s">
        <v>50</v>
      </c>
      <c r="C45" s="11"/>
      <c r="D45" s="7">
        <v>36</v>
      </c>
      <c r="E45" s="11"/>
      <c r="F45" s="15"/>
      <c r="G45" s="15">
        <v>3</v>
      </c>
      <c r="H45" s="12">
        <f t="shared" si="0"/>
        <v>108</v>
      </c>
    </row>
    <row r="46" spans="1:8" ht="15" customHeight="1" x14ac:dyDescent="0.3">
      <c r="A46" s="28"/>
      <c r="B46" s="11" t="s">
        <v>51</v>
      </c>
      <c r="C46" s="11"/>
      <c r="D46" s="7">
        <v>96</v>
      </c>
      <c r="E46" s="11"/>
      <c r="F46" s="15"/>
      <c r="G46" s="15">
        <v>0.35</v>
      </c>
      <c r="H46" s="12">
        <f t="shared" si="0"/>
        <v>33.599999999999994</v>
      </c>
    </row>
    <row r="47" spans="1:8" ht="15" customHeight="1" x14ac:dyDescent="0.3">
      <c r="A47" s="28"/>
      <c r="B47" s="11" t="s">
        <v>52</v>
      </c>
      <c r="C47" s="11"/>
      <c r="D47" s="7">
        <v>24</v>
      </c>
      <c r="E47" s="11"/>
      <c r="F47" s="15"/>
      <c r="G47" s="15">
        <v>1.4</v>
      </c>
      <c r="H47" s="12">
        <f t="shared" si="0"/>
        <v>33.599999999999994</v>
      </c>
    </row>
    <row r="48" spans="1:8" ht="15" customHeight="1" x14ac:dyDescent="0.3">
      <c r="A48" s="28"/>
      <c r="B48" s="11" t="s">
        <v>53</v>
      </c>
      <c r="C48" s="11"/>
      <c r="D48" s="7">
        <v>96</v>
      </c>
      <c r="E48" s="11"/>
      <c r="F48" s="15"/>
      <c r="G48" s="15">
        <v>0.4</v>
      </c>
      <c r="H48" s="12">
        <f t="shared" si="0"/>
        <v>38.400000000000006</v>
      </c>
    </row>
    <row r="49" spans="1:8" ht="15" customHeight="1" x14ac:dyDescent="0.3">
      <c r="A49" s="28"/>
      <c r="B49" s="11" t="s">
        <v>54</v>
      </c>
      <c r="C49" s="11"/>
      <c r="D49" s="7">
        <v>10</v>
      </c>
      <c r="E49" s="11"/>
      <c r="F49" s="15"/>
      <c r="G49" s="15">
        <v>0.6</v>
      </c>
      <c r="H49" s="12">
        <f t="shared" si="0"/>
        <v>6</v>
      </c>
    </row>
    <row r="50" spans="1:8" ht="15" customHeight="1" x14ac:dyDescent="0.3">
      <c r="A50" s="28" t="s">
        <v>66</v>
      </c>
      <c r="B50" s="11" t="s">
        <v>68</v>
      </c>
      <c r="C50" s="11"/>
      <c r="D50" s="7">
        <v>7</v>
      </c>
      <c r="E50" s="11"/>
      <c r="F50" s="15"/>
      <c r="G50" s="15">
        <v>1500</v>
      </c>
      <c r="H50" s="12">
        <f t="shared" si="0"/>
        <v>10500</v>
      </c>
    </row>
    <row r="51" spans="1:8" ht="15" customHeight="1" x14ac:dyDescent="0.3">
      <c r="A51" s="28"/>
      <c r="B51" s="11" t="s">
        <v>58</v>
      </c>
      <c r="C51" s="11"/>
      <c r="D51" s="7">
        <v>13</v>
      </c>
      <c r="E51" s="11"/>
      <c r="F51" s="15"/>
      <c r="G51" s="15">
        <v>200</v>
      </c>
      <c r="H51" s="12">
        <f t="shared" si="0"/>
        <v>2600</v>
      </c>
    </row>
    <row r="52" spans="1:8" ht="15" customHeight="1" x14ac:dyDescent="0.3">
      <c r="A52" s="28"/>
      <c r="B52" s="11" t="s">
        <v>59</v>
      </c>
      <c r="C52" s="11"/>
      <c r="D52" s="7">
        <v>5</v>
      </c>
      <c r="E52" s="11"/>
      <c r="F52" s="15"/>
      <c r="G52" s="15">
        <v>125</v>
      </c>
      <c r="H52" s="12">
        <f t="shared" si="0"/>
        <v>625</v>
      </c>
    </row>
    <row r="53" spans="1:8" ht="15" customHeight="1" x14ac:dyDescent="0.3">
      <c r="A53" s="28"/>
      <c r="B53" s="11" t="s">
        <v>60</v>
      </c>
      <c r="C53" s="11"/>
      <c r="D53" s="7">
        <v>60</v>
      </c>
      <c r="E53" s="11"/>
      <c r="F53" s="15"/>
      <c r="G53" s="15">
        <v>0.6</v>
      </c>
      <c r="H53" s="12">
        <f t="shared" si="0"/>
        <v>36</v>
      </c>
    </row>
    <row r="54" spans="1:8" ht="15" customHeight="1" x14ac:dyDescent="0.3">
      <c r="A54" s="28"/>
      <c r="B54" s="11" t="s">
        <v>61</v>
      </c>
      <c r="C54" s="11"/>
      <c r="D54" s="7">
        <v>10</v>
      </c>
      <c r="E54" s="11"/>
      <c r="F54" s="15"/>
      <c r="G54" s="15">
        <v>0.4</v>
      </c>
      <c r="H54" s="12">
        <f t="shared" si="0"/>
        <v>4</v>
      </c>
    </row>
    <row r="55" spans="1:8" ht="15" customHeight="1" x14ac:dyDescent="0.3">
      <c r="A55" s="28"/>
      <c r="B55" s="11" t="s">
        <v>62</v>
      </c>
      <c r="C55" s="11"/>
      <c r="D55" s="7">
        <v>46</v>
      </c>
      <c r="E55" s="11"/>
      <c r="F55" s="15"/>
      <c r="G55" s="15">
        <v>0.6</v>
      </c>
      <c r="H55" s="12">
        <f t="shared" si="0"/>
        <v>27.599999999999998</v>
      </c>
    </row>
    <row r="56" spans="1:8" ht="15" customHeight="1" x14ac:dyDescent="0.3">
      <c r="A56" s="28"/>
      <c r="B56" s="11" t="s">
        <v>63</v>
      </c>
      <c r="C56" s="11"/>
      <c r="D56" s="7">
        <v>14</v>
      </c>
      <c r="E56" s="11"/>
      <c r="F56" s="15"/>
      <c r="G56" s="15">
        <v>0.25</v>
      </c>
      <c r="H56" s="12">
        <f t="shared" si="0"/>
        <v>3.5</v>
      </c>
    </row>
    <row r="57" spans="1:8" ht="15" customHeight="1" x14ac:dyDescent="0.3">
      <c r="A57" s="28"/>
      <c r="B57" s="11" t="s">
        <v>64</v>
      </c>
      <c r="C57" s="11"/>
      <c r="D57" s="7">
        <v>124</v>
      </c>
      <c r="E57" s="11"/>
      <c r="F57" s="15"/>
      <c r="G57" s="15">
        <v>3</v>
      </c>
      <c r="H57" s="12">
        <f t="shared" si="0"/>
        <v>372</v>
      </c>
    </row>
    <row r="58" spans="1:8" ht="15" customHeight="1" x14ac:dyDescent="0.3">
      <c r="A58" s="28"/>
      <c r="B58" s="11" t="s">
        <v>65</v>
      </c>
      <c r="C58" s="11"/>
      <c r="D58" s="7">
        <v>2</v>
      </c>
      <c r="E58" s="11"/>
      <c r="F58" s="15"/>
      <c r="G58" s="15">
        <v>500</v>
      </c>
      <c r="H58" s="12">
        <f t="shared" si="0"/>
        <v>1000</v>
      </c>
    </row>
    <row r="59" spans="1:8" ht="15" customHeight="1" x14ac:dyDescent="0.3">
      <c r="A59" s="18"/>
      <c r="F59" s="19"/>
      <c r="G59" s="19"/>
      <c r="H59" s="12"/>
    </row>
    <row r="60" spans="1:8" ht="22.5" customHeight="1" x14ac:dyDescent="0.3">
      <c r="H60" s="17">
        <f>SUM(H11:H58)</f>
        <v>269646.5</v>
      </c>
    </row>
  </sheetData>
  <mergeCells count="12">
    <mergeCell ref="C2:H2"/>
    <mergeCell ref="C3:H3"/>
    <mergeCell ref="C4:H4"/>
    <mergeCell ref="C5:H5"/>
    <mergeCell ref="B9:H9"/>
    <mergeCell ref="C7:H7"/>
    <mergeCell ref="C8:H8"/>
    <mergeCell ref="A11:A23"/>
    <mergeCell ref="A24:A39"/>
    <mergeCell ref="A40:A49"/>
    <mergeCell ref="A50:A58"/>
    <mergeCell ref="C6:H6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Maliyetlendirme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ŞAHİN</dc:creator>
  <cp:lastModifiedBy>Yeliz Cosar</cp:lastModifiedBy>
  <cp:lastPrinted>2025-09-17T13:41:56Z</cp:lastPrinted>
  <dcterms:created xsi:type="dcterms:W3CDTF">2015-06-05T18:19:34Z</dcterms:created>
  <dcterms:modified xsi:type="dcterms:W3CDTF">2026-05-18T05:17:00Z</dcterms:modified>
</cp:coreProperties>
</file>